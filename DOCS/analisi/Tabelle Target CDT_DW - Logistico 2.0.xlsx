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 Target CDT_DW" sheetId="1" state="visible" r:id="rId1"/>
    <sheet xmlns:r="http://schemas.openxmlformats.org/officeDocument/2006/relationships" name="Colonne per Tabella" sheetId="2" state="visible" r:id="rId2"/>
    <sheet xmlns:r="http://schemas.openxmlformats.org/officeDocument/2006/relationships" name="Architettura Gold v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</font>
    <font>
      <b val="1"/>
      <color rgb="00FFFFFF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28" customWidth="1" min="4" max="4"/>
    <col width="55" customWidth="1" min="5" max="5"/>
    <col width="55" customWidth="1" min="6" max="6"/>
  </cols>
  <sheetData>
    <row r="1" ht="30" customHeight="1">
      <c r="A1" s="1" t="inlineStr">
        <is>
          <t>Schema</t>
        </is>
      </c>
      <c r="B1" s="1" t="inlineStr">
        <is>
          <t>Tabella</t>
        </is>
      </c>
      <c r="C1" s="1" t="inlineStr">
        <is>
          <t>Tipo</t>
        </is>
      </c>
      <c r="D1" s="1" t="inlineStr">
        <is>
          <t>Catalog.Schema</t>
        </is>
      </c>
      <c r="E1" s="1" t="inlineStr">
        <is>
          <t>Descrizione</t>
        </is>
      </c>
      <c r="F1" s="1" t="inlineStr">
        <is>
          <t>Sorgente</t>
        </is>
      </c>
    </row>
    <row r="2" ht="28" customHeight="1">
      <c r="A2" s="2" t="inlineStr">
        <is>
          <t>(Retail master)</t>
        </is>
      </c>
      <c r="B2" s="3" t="inlineStr">
        <is>
          <t>LU_GIORNO</t>
        </is>
      </c>
      <c r="C2" s="4" t="inlineStr">
        <is>
          <t>Lookup (Retail)</t>
        </is>
      </c>
      <c r="D2" s="4" t="inlineStr">
        <is>
          <t>&lt;retail_master_schema&gt;</t>
        </is>
      </c>
      <c r="E2" s="5" t="inlineStr">
        <is>
          <t>Calendario giornaliero — fornito dal flusso Retail Master Data (OP-02). Lettura sola.</t>
        </is>
      </c>
      <c r="F2" s="5" t="inlineStr">
        <is>
          <t>Master Data Master (Retail)</t>
        </is>
      </c>
    </row>
    <row r="3" ht="28" customHeight="1">
      <c r="A3" s="2" t="inlineStr">
        <is>
          <t>(Retail master)</t>
        </is>
      </c>
      <c r="B3" s="3" t="inlineStr">
        <is>
          <t>LU_MESE</t>
        </is>
      </c>
      <c r="C3" s="4" t="inlineStr">
        <is>
          <t>Lookup (Retail)</t>
        </is>
      </c>
      <c r="D3" s="4" t="inlineStr">
        <is>
          <t>&lt;retail_master_schema&gt;</t>
        </is>
      </c>
      <c r="E3" s="5" t="inlineStr">
        <is>
          <t>Calendario mensile — fornito da Retail Master Data (OP-02). Lettura sola.</t>
        </is>
      </c>
      <c r="F3" s="5" t="inlineStr">
        <is>
          <t>Master Data Master (Retail)</t>
        </is>
      </c>
    </row>
    <row r="4" ht="28" customHeight="1">
      <c r="A4" s="2" t="inlineStr">
        <is>
          <t>(Retail master)</t>
        </is>
      </c>
      <c r="B4" s="3" t="inlineStr">
        <is>
          <t>LU_ART_RADICE</t>
        </is>
      </c>
      <c r="C4" s="4" t="inlineStr">
        <is>
          <t>Lookup (Retail)</t>
        </is>
      </c>
      <c r="D4" s="4" t="inlineStr">
        <is>
          <t>&lt;retail_master_schema&gt;</t>
        </is>
      </c>
      <c r="E4" s="5" t="inlineStr">
        <is>
          <t>Anagrafica articolo radice — fornita da Retail Master Data (OP-02). Lettura sola.</t>
        </is>
      </c>
      <c r="F4" s="5" t="inlineStr">
        <is>
          <t>Master Data Master (Retail)</t>
        </is>
      </c>
    </row>
    <row r="5" ht="28" customHeight="1">
      <c r="A5" s="2" t="inlineStr">
        <is>
          <t>(Retail master)</t>
        </is>
      </c>
      <c r="B5" s="3" t="inlineStr">
        <is>
          <t>LU_FORNITORE</t>
        </is>
      </c>
      <c r="C5" s="4" t="inlineStr">
        <is>
          <t>Lookup (Retail)</t>
        </is>
      </c>
      <c r="D5" s="4" t="inlineStr">
        <is>
          <t>&lt;retail_master_schema&gt;</t>
        </is>
      </c>
      <c r="E5" s="5" t="inlineStr">
        <is>
          <t>Anagrafica fornitore — fornita da Retail Master Data (OP-02). Lettura sola.</t>
        </is>
      </c>
      <c r="F5" s="5" t="inlineStr">
        <is>
          <t>Master Data Master (Retail)</t>
        </is>
      </c>
    </row>
    <row r="6" ht="28" customHeight="1">
      <c r="A6" s="2" t="inlineStr">
        <is>
          <t>(Retail master)</t>
        </is>
      </c>
      <c r="B6" s="3" t="inlineStr">
        <is>
          <t>LU_PDV</t>
        </is>
      </c>
      <c r="C6" s="4" t="inlineStr">
        <is>
          <t>Lookup (Retail)</t>
        </is>
      </c>
      <c r="D6" s="4" t="inlineStr">
        <is>
          <t>&lt;retail_master_schema&gt;</t>
        </is>
      </c>
      <c r="E6" s="5" t="inlineStr">
        <is>
          <t>Anagrafica PDV — fornita da Retail Master Data (OP-02). Lettura sola.</t>
        </is>
      </c>
      <c r="F6" s="5" t="inlineStr">
        <is>
          <t>Master Data Master (Retail)</t>
        </is>
      </c>
    </row>
    <row r="7" ht="28" customHeight="1">
      <c r="A7" s="2" t="inlineStr">
        <is>
          <t>logistica</t>
        </is>
      </c>
      <c r="B7" s="6" t="inlineStr">
        <is>
          <t>LU_SITO</t>
        </is>
      </c>
      <c r="C7" s="7" t="inlineStr">
        <is>
          <t>Lookup</t>
        </is>
      </c>
      <c r="D7" s="7" t="inlineStr">
        <is>
          <t>gold_prod.logistica</t>
        </is>
      </c>
      <c r="E7" s="8" t="inlineStr">
        <is>
          <t>Lookup sito magazzino (chiave SITO_COD).</t>
        </is>
      </c>
      <c r="F7" s="8" t="inlineStr">
        <is>
          <t>silver.logistica.dim_sito</t>
        </is>
      </c>
    </row>
    <row r="8" ht="28" customHeight="1">
      <c r="A8" s="2" t="inlineStr">
        <is>
          <t>logistica</t>
        </is>
      </c>
      <c r="B8" s="6" t="inlineStr">
        <is>
          <t>LU_OPERATORE</t>
        </is>
      </c>
      <c r="C8" s="7" t="inlineStr">
        <is>
          <t>Lookup</t>
        </is>
      </c>
      <c r="D8" s="7" t="inlineStr">
        <is>
          <t>gold_prod.logistica</t>
        </is>
      </c>
      <c r="E8" s="8" t="inlineStr">
        <is>
          <t>Lookup operatori (UNION carrellisti/preparatori/ricevitori/spedizionieri).</t>
        </is>
      </c>
      <c r="F8" s="8" t="inlineStr">
        <is>
          <t>silver.logistica.dim_operatore</t>
        </is>
      </c>
    </row>
    <row r="9" ht="28" customHeight="1">
      <c r="A9" s="2" t="inlineStr">
        <is>
          <t>logistica</t>
        </is>
      </c>
      <c r="B9" s="6" t="inlineStr">
        <is>
          <t>LU_CORRIERE</t>
        </is>
      </c>
      <c r="C9" s="7" t="inlineStr">
        <is>
          <t>Lookup</t>
        </is>
      </c>
      <c r="D9" s="7" t="inlineStr">
        <is>
          <t>gold_prod.logistica</t>
        </is>
      </c>
      <c r="E9" s="8" t="inlineStr">
        <is>
          <t>Lookup corrieri/vettori (da t_vettori CND).</t>
        </is>
      </c>
      <c r="F9" s="8" t="inlineStr">
        <is>
          <t>silver.logistica.dim_corriere</t>
        </is>
      </c>
    </row>
    <row r="10" ht="28" customHeight="1">
      <c r="A10" s="2" t="inlineStr">
        <is>
          <t>logistica</t>
        </is>
      </c>
      <c r="B10" s="6" t="inlineStr">
        <is>
          <t>LU_TOPOGRAFIA</t>
        </is>
      </c>
      <c r="C10" s="7" t="inlineStr">
        <is>
          <t>Lookup</t>
        </is>
      </c>
      <c r="D10" s="7" t="inlineStr">
        <is>
          <t>gold_prod.logistica</t>
        </is>
      </c>
      <c r="E10" s="8" t="inlineStr">
        <is>
          <t>Lookup celle/ubicazioni (CELLA_COD = concat sito+mag+corsia+colonna+piano).</t>
        </is>
      </c>
      <c r="F10" s="8" t="inlineStr">
        <is>
          <t>silver.logistica.dim_topografia</t>
        </is>
      </c>
    </row>
    <row r="11" ht="28" customHeight="1">
      <c r="A11" s="2" t="inlineStr">
        <is>
          <t>logistica</t>
        </is>
      </c>
      <c r="B11" s="6" t="inlineStr">
        <is>
          <t>LU_AREA_MERCL_LOGIS</t>
        </is>
      </c>
      <c r="C11" s="7" t="inlineStr">
        <is>
          <t>Lookup</t>
        </is>
      </c>
      <c r="D11" s="7" t="inlineStr">
        <is>
          <t>gold_prod.logistica</t>
        </is>
      </c>
      <c r="E11" s="8" t="inlineStr">
        <is>
          <t>Merceologica logistica (ex L_AREA_MERCL_LOGIS).</t>
        </is>
      </c>
      <c r="F11" s="8" t="inlineStr">
        <is>
          <t>bronze.logistica.aree_merceologiche</t>
        </is>
      </c>
    </row>
    <row r="12" ht="28" customHeight="1">
      <c r="A12" s="2" t="inlineStr">
        <is>
          <t>logistica</t>
        </is>
      </c>
      <c r="B12" s="9" t="inlineStr">
        <is>
          <t>F_CARICO</t>
        </is>
      </c>
      <c r="C12" s="10" t="inlineStr">
        <is>
          <t>Fatto</t>
        </is>
      </c>
      <c r="D12" s="10" t="inlineStr">
        <is>
          <t>gold_prod.logistica</t>
        </is>
      </c>
      <c r="E12" s="11" t="inlineStr">
        <is>
          <t>Dettaglio ricevimento merci (testata x dettaglio + pesata). Articolo = MSI_COD.</t>
        </is>
      </c>
      <c r="F12" s="11" t="inlineStr">
        <is>
          <t>silver.logistica.carico_testata + carico_dettaglio + pesata</t>
        </is>
      </c>
    </row>
    <row r="13" ht="28" customHeight="1">
      <c r="A13" s="2" t="inlineStr">
        <is>
          <t>logistica</t>
        </is>
      </c>
      <c r="B13" s="9" t="inlineStr">
        <is>
          <t>F_GIACENZE_DAILY</t>
        </is>
      </c>
      <c r="C13" s="10" t="inlineStr">
        <is>
          <t>Fatto</t>
        </is>
      </c>
      <c r="D13" s="10" t="inlineStr">
        <is>
          <t>gold_prod.logistica</t>
        </is>
      </c>
      <c r="E13" s="11" t="inlineStr">
        <is>
          <t>Snapshot giornaliero giacenze per ART_COD_INTERNO + MAG_COD (da T_STOCK CND).</t>
        </is>
      </c>
      <c r="F13" s="11" t="inlineStr">
        <is>
          <t>silver.logistica.giacenza_daily</t>
        </is>
      </c>
    </row>
    <row r="14" ht="28" customHeight="1">
      <c r="A14" s="2" t="inlineStr">
        <is>
          <t>logistica</t>
        </is>
      </c>
      <c r="B14" s="9" t="inlineStr">
        <is>
          <t>F_PREP_SPED</t>
        </is>
      </c>
      <c r="C14" s="10" t="inlineStr">
        <is>
          <t>Fatto</t>
        </is>
      </c>
      <c r="D14" s="10" t="inlineStr">
        <is>
          <t>gold_prod.logistica</t>
        </is>
      </c>
      <c r="E14" s="11" t="inlineStr">
        <is>
          <t>Preparazione spedizioni con regola 30 min attrezzaggio rivista. Produttività CARTONI/ora (OP-27).</t>
        </is>
      </c>
      <c r="F14" s="11" t="inlineStr">
        <is>
          <t>silver.logistica.prep_riepilogo + timbratura_sessione</t>
        </is>
      </c>
    </row>
    <row r="15" ht="28" customHeight="1">
      <c r="A15" s="2" t="inlineStr">
        <is>
          <t>logistica</t>
        </is>
      </c>
      <c r="B15" s="9" t="inlineStr">
        <is>
          <t>F_ORDINI</t>
        </is>
      </c>
      <c r="C15" s="10" t="inlineStr">
        <is>
          <t>Fatto</t>
        </is>
      </c>
      <c r="D15" s="10" t="inlineStr">
        <is>
          <t>gold_prod.logistica</t>
        </is>
      </c>
      <c r="E15" s="11" t="inlineStr">
        <is>
          <t>Ordini di acquisto (da sto_tes_carichi). Nessuna quantità (è nel dettaglio = F_CARICO).</t>
        </is>
      </c>
      <c r="F15" s="11" t="inlineStr">
        <is>
          <t>silver.logistica.ordine</t>
        </is>
      </c>
    </row>
    <row r="16" ht="28" customHeight="1">
      <c r="A16" s="2" t="inlineStr">
        <is>
          <t>logistica</t>
        </is>
      </c>
      <c r="B16" s="9" t="inlineStr">
        <is>
          <t>F_TRASPORTO</t>
        </is>
      </c>
      <c r="C16" s="10" t="inlineStr">
        <is>
          <t>Fatto</t>
        </is>
      </c>
      <c r="D16" s="10" t="inlineStr">
        <is>
          <t>gold_prod.logistica</t>
        </is>
      </c>
      <c r="E16" s="11" t="inlineStr">
        <is>
          <t>Movimentazioni trasporto (area non core). LEAD_TIME e COSTO sono proxy.</t>
        </is>
      </c>
      <c r="F16" s="11" t="inlineStr">
        <is>
          <t>silver.logistica.trasporto + costo_trasporto</t>
        </is>
      </c>
    </row>
    <row r="17" ht="28" customHeight="1">
      <c r="A17" s="2" t="inlineStr">
        <is>
          <t>logistica</t>
        </is>
      </c>
      <c r="B17" s="9" t="inlineStr">
        <is>
          <t>F_TRACCIABILITA_LOTTI</t>
        </is>
      </c>
      <c r="C17" s="10" t="inlineStr">
        <is>
          <t>Fatto</t>
        </is>
      </c>
      <c r="D17" s="10" t="inlineStr">
        <is>
          <t>gold_prod.logistica</t>
        </is>
      </c>
      <c r="E17" s="11" t="inlineStr">
        <is>
          <t>Tracciabilità lotti via etichette CE178.</t>
        </is>
      </c>
      <c r="F17" s="11" t="inlineStr">
        <is>
          <t>silver.logistica.tracciabilita_lotto</t>
        </is>
      </c>
    </row>
    <row r="18" ht="28" customHeight="1">
      <c r="A18" s="2" t="inlineStr">
        <is>
          <t>logistica</t>
        </is>
      </c>
      <c r="B18" s="9" t="inlineStr">
        <is>
          <t>F_MOVIMENTAZIONE_CARRELLISTI</t>
        </is>
      </c>
      <c r="C18" s="10" t="inlineStr">
        <is>
          <t>Fatto</t>
        </is>
      </c>
      <c r="D18" s="10" t="inlineStr">
        <is>
          <t>gold_prod.logistica</t>
        </is>
      </c>
      <c r="E18" s="11" t="inlineStr">
        <is>
          <t>Riepilogo giornaliero attività carrellisti (sessione + missioni aggregate).</t>
        </is>
      </c>
      <c r="F18" s="11" t="inlineStr">
        <is>
          <t>silver.logistica.sessione_carrellista + missione_carrellista</t>
        </is>
      </c>
    </row>
    <row r="19" ht="28" customHeight="1">
      <c r="A19" s="2" t="inlineStr">
        <is>
          <t>logistica_dm</t>
        </is>
      </c>
      <c r="B19" s="12" t="inlineStr">
        <is>
          <t>A_INBOUND_MENSILE</t>
        </is>
      </c>
      <c r="C19" s="13" t="inlineStr">
        <is>
          <t>Aggregato</t>
        </is>
      </c>
      <c r="D19" s="13" t="inlineStr">
        <is>
          <t>gold_prod.logistica_dm</t>
        </is>
      </c>
      <c r="E19" s="14" t="inlineStr">
        <is>
          <t>Inbound mensile per FORNITORE_COD + SITO_COD.</t>
        </is>
      </c>
      <c r="F19" s="14" t="inlineStr">
        <is>
          <t>gold_prod.logistica.F_CARICO</t>
        </is>
      </c>
    </row>
    <row r="20" ht="28" customHeight="1">
      <c r="A20" s="2" t="inlineStr">
        <is>
          <t>logistica_dm</t>
        </is>
      </c>
      <c r="B20" s="12" t="inlineStr">
        <is>
          <t>A_GIACENZE_MONTHLY</t>
        </is>
      </c>
      <c r="C20" s="13" t="inlineStr">
        <is>
          <t>Aggregato</t>
        </is>
      </c>
      <c r="D20" s="13" t="inlineStr">
        <is>
          <t>gold_prod.logistica_dm</t>
        </is>
      </c>
      <c r="E20" s="14" t="inlineStr">
        <is>
          <t>Giacenze mensili per ART_RADICE + MAG_COD (avg/max/min/fine mese).</t>
        </is>
      </c>
      <c r="F20" s="14" t="inlineStr">
        <is>
          <t>gold_prod.logistica.F_GIACENZE_DAILY</t>
        </is>
      </c>
    </row>
    <row r="21" ht="28" customHeight="1">
      <c r="A21" s="2" t="inlineStr">
        <is>
          <t>logistica_dm</t>
        </is>
      </c>
      <c r="B21" s="12" t="inlineStr">
        <is>
          <t>A_STOCK_MENSILE</t>
        </is>
      </c>
      <c r="C21" s="13" t="inlineStr">
        <is>
          <t>Aggregato</t>
        </is>
      </c>
      <c r="D21" s="13" t="inlineStr">
        <is>
          <t>gold_prod.logistica_dm</t>
        </is>
      </c>
      <c r="E21" s="14" t="inlineStr">
        <is>
          <t>Stock mensile (passthrough da A_GIACENZE_MONTHLY).</t>
        </is>
      </c>
      <c r="F21" s="14" t="inlineStr">
        <is>
          <t>gold_prod.logistica_dm.A_GIACENZE_MONTHLY</t>
        </is>
      </c>
    </row>
    <row r="22" ht="28" customHeight="1">
      <c r="A22" s="2" t="inlineStr">
        <is>
          <t>logistica_dm</t>
        </is>
      </c>
      <c r="B22" s="12" t="inlineStr">
        <is>
          <t>A_OUTBOUND_MENSILE</t>
        </is>
      </c>
      <c r="C22" s="13" t="inlineStr">
        <is>
          <t>Aggregato</t>
        </is>
      </c>
      <c r="D22" s="13" t="inlineStr">
        <is>
          <t>gold_prod.logistica_dm</t>
        </is>
      </c>
      <c r="E22" s="14" t="inlineStr">
        <is>
          <t>Outbound mensile per SITO + CORRIERE (full outer F_ORDINI/F_TRASPORTO).</t>
        </is>
      </c>
      <c r="F22" s="14" t="inlineStr">
        <is>
          <t>gold_prod.logistica.F_ORDINI + F_TRASPORTO</t>
        </is>
      </c>
    </row>
    <row r="23" ht="28" customHeight="1">
      <c r="A23" s="2" t="inlineStr">
        <is>
          <t>logistica_dm</t>
        </is>
      </c>
      <c r="B23" s="12" t="inlineStr">
        <is>
          <t>A_PRODUTTIVITA_MENSILE</t>
        </is>
      </c>
      <c r="C23" s="13" t="inlineStr">
        <is>
          <t>Aggregato</t>
        </is>
      </c>
      <c r="D23" s="13" t="inlineStr">
        <is>
          <t>gold_prod.logistica_dm</t>
        </is>
      </c>
      <c r="E23" s="14" t="inlineStr">
        <is>
          <t>Produttività mensile per sito (misure CARTONI/QUINTALI - OP-27).</t>
        </is>
      </c>
      <c r="F23" s="14" t="inlineStr">
        <is>
          <t>gold_prod.logistica.F_PREP_SPED</t>
        </is>
      </c>
    </row>
    <row r="24" ht="28" customHeight="1">
      <c r="A24" s="2" t="inlineStr">
        <is>
          <t>logistica_dm</t>
        </is>
      </c>
      <c r="B24" s="12" t="inlineStr">
        <is>
          <t>A_TURNO_PREP_SITO</t>
        </is>
      </c>
      <c r="C24" s="13" t="inlineStr">
        <is>
          <t>Aggregato</t>
        </is>
      </c>
      <c r="D24" s="13" t="inlineStr">
        <is>
          <t>gold_prod.logistica_dm</t>
        </is>
      </c>
      <c r="E24" s="14" t="inlineStr">
        <is>
          <t>Aggregato giornaliero per sito (cartoni, ore, % attrezzaggio).</t>
        </is>
      </c>
      <c r="F24" s="14" t="inlineStr">
        <is>
          <t>gold_prod.logistica.F_PREP_SPED</t>
        </is>
      </c>
    </row>
    <row r="26">
      <c r="A26" s="15" t="inlineStr">
        <is>
          <t>RIEPILOGO</t>
        </is>
      </c>
      <c r="B26" t="inlineStr">
        <is>
          <t>Lookup Retail: 5   Lookup logistiche: 5   Fact: 7   Aggregati: 6   Totale: 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6" customWidth="1" min="4" max="4"/>
    <col width="12" customWidth="1" min="5" max="5"/>
    <col width="55" customWidth="1" min="6" max="6"/>
  </cols>
  <sheetData>
    <row r="1" ht="30" customHeight="1">
      <c r="A1" s="1" t="inlineStr">
        <is>
          <t>Tabella</t>
        </is>
      </c>
      <c r="B1" s="1" t="inlineStr">
        <is>
          <t>Tipo Tabella</t>
        </is>
      </c>
      <c r="C1" s="1" t="inlineStr">
        <is>
          <t>Nome Colonna</t>
        </is>
      </c>
      <c r="D1" s="1" t="inlineStr">
        <is>
          <t>Tipo Dato</t>
        </is>
      </c>
      <c r="E1" s="1" t="inlineStr">
        <is>
          <t>Chiave</t>
        </is>
      </c>
      <c r="F1" s="1" t="inlineStr">
        <is>
          <t>Descrizione</t>
        </is>
      </c>
    </row>
    <row r="2" ht="22" customHeight="1">
      <c r="A2" s="3" t="inlineStr">
        <is>
          <t>LU_GIORNO</t>
        </is>
      </c>
      <c r="B2" s="4" t="inlineStr">
        <is>
          <t>Lookup (Retail)</t>
        </is>
      </c>
      <c r="C2" s="16" t="inlineStr">
        <is>
          <t>(definita lato Retail Master Data — OP-02)</t>
        </is>
      </c>
      <c r="D2" s="16" t="inlineStr"/>
      <c r="E2" s="16" t="inlineStr"/>
      <c r="F2" s="16" t="inlineStr"/>
    </row>
    <row r="3" ht="22" customHeight="1">
      <c r="A3" s="3" t="inlineStr">
        <is>
          <t>LU_MESE</t>
        </is>
      </c>
      <c r="B3" s="4" t="inlineStr">
        <is>
          <t>Lookup (Retail)</t>
        </is>
      </c>
      <c r="C3" s="16" t="inlineStr">
        <is>
          <t>(definita lato Retail Master Data — OP-02)</t>
        </is>
      </c>
      <c r="D3" s="16" t="inlineStr"/>
      <c r="E3" s="16" t="inlineStr"/>
      <c r="F3" s="16" t="inlineStr"/>
    </row>
    <row r="4" ht="22" customHeight="1">
      <c r="A4" s="3" t="inlineStr">
        <is>
          <t>LU_ART_RADICE</t>
        </is>
      </c>
      <c r="B4" s="4" t="inlineStr">
        <is>
          <t>Lookup (Retail)</t>
        </is>
      </c>
      <c r="C4" s="16" t="inlineStr">
        <is>
          <t>(definita lato Retail Master Data — OP-02)</t>
        </is>
      </c>
      <c r="D4" s="16" t="inlineStr"/>
      <c r="E4" s="16" t="inlineStr"/>
      <c r="F4" s="16" t="inlineStr"/>
    </row>
    <row r="5" ht="22" customHeight="1">
      <c r="A5" s="3" t="inlineStr">
        <is>
          <t>LU_FORNITORE</t>
        </is>
      </c>
      <c r="B5" s="4" t="inlineStr">
        <is>
          <t>Lookup (Retail)</t>
        </is>
      </c>
      <c r="C5" s="16" t="inlineStr">
        <is>
          <t>(definita lato Retail Master Data — OP-02)</t>
        </is>
      </c>
      <c r="D5" s="16" t="inlineStr"/>
      <c r="E5" s="16" t="inlineStr"/>
      <c r="F5" s="16" t="inlineStr"/>
    </row>
    <row r="6" ht="22" customHeight="1">
      <c r="A6" s="3" t="inlineStr">
        <is>
          <t>LU_PDV</t>
        </is>
      </c>
      <c r="B6" s="4" t="inlineStr">
        <is>
          <t>Lookup (Retail)</t>
        </is>
      </c>
      <c r="C6" s="16" t="inlineStr">
        <is>
          <t>(definita lato Retail Master Data — OP-02)</t>
        </is>
      </c>
      <c r="D6" s="16" t="inlineStr"/>
      <c r="E6" s="16" t="inlineStr"/>
      <c r="F6" s="16" t="inlineStr"/>
    </row>
    <row r="7" ht="20" customHeight="1">
      <c r="A7" s="6" t="inlineStr">
        <is>
          <t>LU_SITO</t>
        </is>
      </c>
      <c r="B7" s="7" t="inlineStr">
        <is>
          <t>Lookup</t>
        </is>
      </c>
      <c r="C7" s="17" t="inlineStr">
        <is>
          <t>SITO_COD</t>
        </is>
      </c>
      <c r="D7" s="7" t="inlineStr">
        <is>
          <t>string</t>
        </is>
      </c>
      <c r="E7" s="18" t="inlineStr">
        <is>
          <t>PK</t>
        </is>
      </c>
      <c r="F7" s="8" t="inlineStr">
        <is>
          <t>Codice sito magazzino</t>
        </is>
      </c>
    </row>
    <row r="8" ht="20" customHeight="1">
      <c r="A8" s="6" t="inlineStr">
        <is>
          <t>LU_SITO</t>
        </is>
      </c>
      <c r="B8" s="7" t="inlineStr">
        <is>
          <t>Lookup</t>
        </is>
      </c>
      <c r="C8" s="8" t="inlineStr">
        <is>
          <t>SITO_DESC</t>
        </is>
      </c>
      <c r="D8" s="7" t="inlineStr">
        <is>
          <t>string</t>
        </is>
      </c>
      <c r="E8" s="7" t="inlineStr"/>
      <c r="F8" s="8" t="inlineStr">
        <is>
          <t>Descrizione sito (placeholder null finché non disponibile in sorgente)</t>
        </is>
      </c>
    </row>
    <row r="9" ht="20" customHeight="1">
      <c r="A9" s="6" t="inlineStr">
        <is>
          <t>LU_SITO</t>
        </is>
      </c>
      <c r="B9" s="7" t="inlineStr">
        <is>
          <t>Lookup</t>
        </is>
      </c>
      <c r="C9" s="8" t="inlineStr">
        <is>
          <t>DWH_UPDATED_AT</t>
        </is>
      </c>
      <c r="D9" s="7" t="inlineStr">
        <is>
          <t>timestamp</t>
        </is>
      </c>
      <c r="E9" s="7" t="inlineStr"/>
      <c r="F9" s="8" t="inlineStr">
        <is>
          <t>Timestamp aggiornamento</t>
        </is>
      </c>
    </row>
    <row r="10" ht="20" customHeight="1">
      <c r="A10" s="6" t="inlineStr">
        <is>
          <t>LU_OPERATORE</t>
        </is>
      </c>
      <c r="B10" s="7" t="inlineStr">
        <is>
          <t>Lookup</t>
        </is>
      </c>
      <c r="C10" s="17" t="inlineStr">
        <is>
          <t>OPERATORE_COD</t>
        </is>
      </c>
      <c r="D10" s="7" t="inlineStr">
        <is>
          <t>string</t>
        </is>
      </c>
      <c r="E10" s="18" t="inlineStr">
        <is>
          <t>PK</t>
        </is>
      </c>
      <c r="F10" s="8" t="inlineStr">
        <is>
          <t>Codice operatore (codice naturale dalla tabella di provenienza)</t>
        </is>
      </c>
    </row>
    <row r="11" ht="20" customHeight="1">
      <c r="A11" s="6" t="inlineStr">
        <is>
          <t>LU_OPERATORE</t>
        </is>
      </c>
      <c r="B11" s="7" t="inlineStr">
        <is>
          <t>Lookup</t>
        </is>
      </c>
      <c r="C11" s="17" t="inlineStr">
        <is>
          <t>SITO_COD</t>
        </is>
      </c>
      <c r="D11" s="7" t="inlineStr">
        <is>
          <t>string</t>
        </is>
      </c>
      <c r="E11" s="18" t="inlineStr">
        <is>
          <t>PK</t>
        </is>
      </c>
      <c r="F11" s="8" t="inlineStr">
        <is>
          <t>Sito di appartenenza</t>
        </is>
      </c>
    </row>
    <row r="12" ht="20" customHeight="1">
      <c r="A12" s="6" t="inlineStr">
        <is>
          <t>LU_OPERATORE</t>
        </is>
      </c>
      <c r="B12" s="7" t="inlineStr">
        <is>
          <t>Lookup</t>
        </is>
      </c>
      <c r="C12" s="17" t="inlineStr">
        <is>
          <t>TIPO_OPERATORE</t>
        </is>
      </c>
      <c r="D12" s="7" t="inlineStr">
        <is>
          <t>string</t>
        </is>
      </c>
      <c r="E12" s="18" t="inlineStr">
        <is>
          <t>PK</t>
        </is>
      </c>
      <c r="F12" s="8" t="inlineStr">
        <is>
          <t>CARRELLISTA / PREPARATORE / RICEVITORE / SPEDIZIONIERE</t>
        </is>
      </c>
    </row>
    <row r="13" ht="20" customHeight="1">
      <c r="A13" s="6" t="inlineStr">
        <is>
          <t>LU_OPERATORE</t>
        </is>
      </c>
      <c r="B13" s="7" t="inlineStr">
        <is>
          <t>Lookup</t>
        </is>
      </c>
      <c r="C13" s="8" t="inlineStr">
        <is>
          <t>DESCRIZIONE</t>
        </is>
      </c>
      <c r="D13" s="7" t="inlineStr">
        <is>
          <t>string</t>
        </is>
      </c>
      <c r="E13" s="7" t="inlineStr"/>
      <c r="F13" s="8" t="inlineStr">
        <is>
          <t>Descrizione (DES_* per carr/prep, COGNOME+NOME per ricv/spe)</t>
        </is>
      </c>
    </row>
    <row r="14" ht="20" customHeight="1">
      <c r="A14" s="6" t="inlineStr">
        <is>
          <t>LU_OPERATORE</t>
        </is>
      </c>
      <c r="B14" s="7" t="inlineStr">
        <is>
          <t>Lookup</t>
        </is>
      </c>
      <c r="C14" s="8" t="inlineStr">
        <is>
          <t>FLG_ATTIVO</t>
        </is>
      </c>
      <c r="D14" s="7" t="inlineStr">
        <is>
          <t>string</t>
        </is>
      </c>
      <c r="E14" s="7" t="inlineStr"/>
      <c r="F14" s="8" t="inlineStr">
        <is>
          <t>Flag attivo (S/N o null se non disponibile)</t>
        </is>
      </c>
    </row>
    <row r="15" ht="20" customHeight="1">
      <c r="A15" s="6" t="inlineStr">
        <is>
          <t>LU_OPERATORE</t>
        </is>
      </c>
      <c r="B15" s="7" t="inlineStr">
        <is>
          <t>Lookup</t>
        </is>
      </c>
      <c r="C15" s="8" t="inlineStr">
        <is>
          <t>DWH_UPDATED_AT</t>
        </is>
      </c>
      <c r="D15" s="7" t="inlineStr">
        <is>
          <t>timestamp</t>
        </is>
      </c>
      <c r="E15" s="7" t="inlineStr"/>
      <c r="F15" s="8" t="inlineStr"/>
    </row>
    <row r="16" ht="20" customHeight="1">
      <c r="A16" s="6" t="inlineStr">
        <is>
          <t>LU_CORRIERE</t>
        </is>
      </c>
      <c r="B16" s="7" t="inlineStr">
        <is>
          <t>Lookup</t>
        </is>
      </c>
      <c r="C16" s="17" t="inlineStr">
        <is>
          <t>CORRIERE_COD</t>
        </is>
      </c>
      <c r="D16" s="7" t="inlineStr">
        <is>
          <t>string</t>
        </is>
      </c>
      <c r="E16" s="18" t="inlineStr">
        <is>
          <t>PK</t>
        </is>
      </c>
      <c r="F16" s="8" t="inlineStr">
        <is>
          <t>Codice vettore (VET_CODICE)</t>
        </is>
      </c>
    </row>
    <row r="17" ht="20" customHeight="1">
      <c r="A17" s="6" t="inlineStr">
        <is>
          <t>LU_CORRIERE</t>
        </is>
      </c>
      <c r="B17" s="7" t="inlineStr">
        <is>
          <t>Lookup</t>
        </is>
      </c>
      <c r="C17" s="8" t="inlineStr">
        <is>
          <t>RAGIONE_SOCIALE</t>
        </is>
      </c>
      <c r="D17" s="7" t="inlineStr">
        <is>
          <t>string</t>
        </is>
      </c>
      <c r="E17" s="7" t="inlineStr"/>
      <c r="F17" s="8" t="inlineStr">
        <is>
          <t>Da VET_DESCRIZIONE</t>
        </is>
      </c>
    </row>
    <row r="18" ht="20" customHeight="1">
      <c r="A18" s="6" t="inlineStr">
        <is>
          <t>LU_CORRIERE</t>
        </is>
      </c>
      <c r="B18" s="7" t="inlineStr">
        <is>
          <t>Lookup</t>
        </is>
      </c>
      <c r="C18" s="8" t="inlineStr">
        <is>
          <t>INDIRIZZO</t>
        </is>
      </c>
      <c r="D18" s="7" t="inlineStr">
        <is>
          <t>string</t>
        </is>
      </c>
      <c r="E18" s="7" t="inlineStr"/>
      <c r="F18" s="8" t="inlineStr"/>
    </row>
    <row r="19" ht="20" customHeight="1">
      <c r="A19" s="6" t="inlineStr">
        <is>
          <t>LU_CORRIERE</t>
        </is>
      </c>
      <c r="B19" s="7" t="inlineStr">
        <is>
          <t>Lookup</t>
        </is>
      </c>
      <c r="C19" s="8" t="inlineStr">
        <is>
          <t>CITTA</t>
        </is>
      </c>
      <c r="D19" s="7" t="inlineStr">
        <is>
          <t>string</t>
        </is>
      </c>
      <c r="E19" s="7" t="inlineStr"/>
      <c r="F19" s="8" t="inlineStr"/>
    </row>
    <row r="20" ht="20" customHeight="1">
      <c r="A20" s="6" t="inlineStr">
        <is>
          <t>LU_CORRIERE</t>
        </is>
      </c>
      <c r="B20" s="7" t="inlineStr">
        <is>
          <t>Lookup</t>
        </is>
      </c>
      <c r="C20" s="8" t="inlineStr">
        <is>
          <t>PROVINCIA</t>
        </is>
      </c>
      <c r="D20" s="7" t="inlineStr">
        <is>
          <t>string</t>
        </is>
      </c>
      <c r="E20" s="7" t="inlineStr"/>
      <c r="F20" s="8" t="inlineStr"/>
    </row>
    <row r="21" ht="20" customHeight="1">
      <c r="A21" s="6" t="inlineStr">
        <is>
          <t>LU_CORRIERE</t>
        </is>
      </c>
      <c r="B21" s="7" t="inlineStr">
        <is>
          <t>Lookup</t>
        </is>
      </c>
      <c r="C21" s="8" t="inlineStr">
        <is>
          <t>CAP</t>
        </is>
      </c>
      <c r="D21" s="7" t="inlineStr">
        <is>
          <t>string</t>
        </is>
      </c>
      <c r="E21" s="7" t="inlineStr"/>
      <c r="F21" s="8" t="inlineStr"/>
    </row>
    <row r="22" ht="20" customHeight="1">
      <c r="A22" s="6" t="inlineStr">
        <is>
          <t>LU_CORRIERE</t>
        </is>
      </c>
      <c r="B22" s="7" t="inlineStr">
        <is>
          <t>Lookup</t>
        </is>
      </c>
      <c r="C22" s="8" t="inlineStr">
        <is>
          <t>FLG_ATTIVO</t>
        </is>
      </c>
      <c r="D22" s="7" t="inlineStr">
        <is>
          <t>string</t>
        </is>
      </c>
      <c r="E22" s="7" t="inlineStr"/>
      <c r="F22" s="8" t="inlineStr">
        <is>
          <t>Da VET_STATO</t>
        </is>
      </c>
    </row>
    <row r="23" ht="20" customHeight="1">
      <c r="A23" s="6" t="inlineStr">
        <is>
          <t>LU_CORRIERE</t>
        </is>
      </c>
      <c r="B23" s="7" t="inlineStr">
        <is>
          <t>Lookup</t>
        </is>
      </c>
      <c r="C23" s="8" t="inlineStr">
        <is>
          <t>DWH_UPDATED_AT</t>
        </is>
      </c>
      <c r="D23" s="7" t="inlineStr">
        <is>
          <t>timestamp</t>
        </is>
      </c>
      <c r="E23" s="7" t="inlineStr"/>
      <c r="F23" s="8" t="inlineStr"/>
    </row>
    <row r="24" ht="20" customHeight="1">
      <c r="A24" s="6" t="inlineStr">
        <is>
          <t>LU_TOPOGRAFIA</t>
        </is>
      </c>
      <c r="B24" s="7" t="inlineStr">
        <is>
          <t>Lookup</t>
        </is>
      </c>
      <c r="C24" s="17" t="inlineStr">
        <is>
          <t>CELLA_COD</t>
        </is>
      </c>
      <c r="D24" s="7" t="inlineStr">
        <is>
          <t>string</t>
        </is>
      </c>
      <c r="E24" s="18" t="inlineStr">
        <is>
          <t>PK</t>
        </is>
      </c>
      <c r="F24" s="8" t="inlineStr">
        <is>
          <t>concat_ws('_', SITO, MAG, CORSIA, COLONNA, PIANO)</t>
        </is>
      </c>
    </row>
    <row r="25" ht="20" customHeight="1">
      <c r="A25" s="6" t="inlineStr">
        <is>
          <t>LU_TOPOGRAFIA</t>
        </is>
      </c>
      <c r="B25" s="7" t="inlineStr">
        <is>
          <t>Lookup</t>
        </is>
      </c>
      <c r="C25" s="8" t="inlineStr">
        <is>
          <t>SITO_COD</t>
        </is>
      </c>
      <c r="D25" s="7" t="inlineStr">
        <is>
          <t>string</t>
        </is>
      </c>
      <c r="E25" s="7" t="inlineStr">
        <is>
          <t>FK</t>
        </is>
      </c>
      <c r="F25" s="8" t="inlineStr"/>
    </row>
    <row r="26" ht="20" customHeight="1">
      <c r="A26" s="6" t="inlineStr">
        <is>
          <t>LU_TOPOGRAFIA</t>
        </is>
      </c>
      <c r="B26" s="7" t="inlineStr">
        <is>
          <t>Lookup</t>
        </is>
      </c>
      <c r="C26" s="8" t="inlineStr">
        <is>
          <t>MAG_COD</t>
        </is>
      </c>
      <c r="D26" s="7" t="inlineStr">
        <is>
          <t>string</t>
        </is>
      </c>
      <c r="E26" s="7" t="inlineStr"/>
      <c r="F26" s="8" t="inlineStr">
        <is>
          <t>STRM_COD_MAGAZZINO</t>
        </is>
      </c>
    </row>
    <row r="27" ht="20" customHeight="1">
      <c r="A27" s="6" t="inlineStr">
        <is>
          <t>LU_TOPOGRAFIA</t>
        </is>
      </c>
      <c r="B27" s="7" t="inlineStr">
        <is>
          <t>Lookup</t>
        </is>
      </c>
      <c r="C27" s="8" t="inlineStr">
        <is>
          <t>CORSIA</t>
        </is>
      </c>
      <c r="D27" s="7" t="inlineStr">
        <is>
          <t>string</t>
        </is>
      </c>
      <c r="E27" s="7" t="inlineStr"/>
      <c r="F27" s="8" t="inlineStr"/>
    </row>
    <row r="28" ht="20" customHeight="1">
      <c r="A28" s="6" t="inlineStr">
        <is>
          <t>LU_TOPOGRAFIA</t>
        </is>
      </c>
      <c r="B28" s="7" t="inlineStr">
        <is>
          <t>Lookup</t>
        </is>
      </c>
      <c r="C28" s="8" t="inlineStr">
        <is>
          <t>COLONNA</t>
        </is>
      </c>
      <c r="D28" s="7" t="inlineStr">
        <is>
          <t>string</t>
        </is>
      </c>
      <c r="E28" s="7" t="inlineStr"/>
      <c r="F28" s="8" t="inlineStr"/>
    </row>
    <row r="29" ht="20" customHeight="1">
      <c r="A29" s="6" t="inlineStr">
        <is>
          <t>LU_TOPOGRAFIA</t>
        </is>
      </c>
      <c r="B29" s="7" t="inlineStr">
        <is>
          <t>Lookup</t>
        </is>
      </c>
      <c r="C29" s="8" t="inlineStr">
        <is>
          <t>PIANO</t>
        </is>
      </c>
      <c r="D29" s="7" t="inlineStr">
        <is>
          <t>string</t>
        </is>
      </c>
      <c r="E29" s="7" t="inlineStr"/>
      <c r="F29" s="8" t="inlineStr"/>
    </row>
    <row r="30" ht="20" customHeight="1">
      <c r="A30" s="6" t="inlineStr">
        <is>
          <t>LU_TOPOGRAFIA</t>
        </is>
      </c>
      <c r="B30" s="7" t="inlineStr">
        <is>
          <t>Lookup</t>
        </is>
      </c>
      <c r="C30" s="8" t="inlineStr">
        <is>
          <t>COD_CLAS_POSPA</t>
        </is>
      </c>
      <c r="D30" s="7" t="inlineStr">
        <is>
          <t>string</t>
        </is>
      </c>
      <c r="E30" s="7" t="inlineStr"/>
      <c r="F30" s="8" t="inlineStr">
        <is>
          <t>STRM_COD_CLAS_POSPA</t>
        </is>
      </c>
    </row>
    <row r="31" ht="20" customHeight="1">
      <c r="A31" s="6" t="inlineStr">
        <is>
          <t>LU_TOPOGRAFIA</t>
        </is>
      </c>
      <c r="B31" s="7" t="inlineStr">
        <is>
          <t>Lookup</t>
        </is>
      </c>
      <c r="C31" s="8" t="inlineStr">
        <is>
          <t>COD_ZONA_MAG</t>
        </is>
      </c>
      <c r="D31" s="7" t="inlineStr">
        <is>
          <t>string</t>
        </is>
      </c>
      <c r="E31" s="7" t="inlineStr"/>
      <c r="F31" s="8" t="inlineStr"/>
    </row>
    <row r="32" ht="20" customHeight="1">
      <c r="A32" s="6" t="inlineStr">
        <is>
          <t>LU_TOPOGRAFIA</t>
        </is>
      </c>
      <c r="B32" s="7" t="inlineStr">
        <is>
          <t>Lookup</t>
        </is>
      </c>
      <c r="C32" s="8" t="inlineStr">
        <is>
          <t>COD_SETTOR_MAG</t>
        </is>
      </c>
      <c r="D32" s="7" t="inlineStr">
        <is>
          <t>string</t>
        </is>
      </c>
      <c r="E32" s="7" t="inlineStr"/>
      <c r="F32" s="8" t="inlineStr"/>
    </row>
    <row r="33" ht="20" customHeight="1">
      <c r="A33" s="6" t="inlineStr">
        <is>
          <t>LU_TOPOGRAFIA</t>
        </is>
      </c>
      <c r="B33" s="7" t="inlineStr">
        <is>
          <t>Lookup</t>
        </is>
      </c>
      <c r="C33" s="8" t="inlineStr">
        <is>
          <t>STATO_POSPA</t>
        </is>
      </c>
      <c r="D33" s="7" t="inlineStr">
        <is>
          <t>string</t>
        </is>
      </c>
      <c r="E33" s="7" t="inlineStr"/>
      <c r="F33" s="8" t="inlineStr"/>
    </row>
    <row r="34" ht="20" customHeight="1">
      <c r="A34" s="6" t="inlineStr">
        <is>
          <t>LU_TOPOGRAFIA</t>
        </is>
      </c>
      <c r="B34" s="7" t="inlineStr">
        <is>
          <t>Lookup</t>
        </is>
      </c>
      <c r="C34" s="8" t="inlineStr">
        <is>
          <t>DWH_UPDATED_AT</t>
        </is>
      </c>
      <c r="D34" s="7" t="inlineStr">
        <is>
          <t>timestamp</t>
        </is>
      </c>
      <c r="E34" s="7" t="inlineStr"/>
      <c r="F34" s="8" t="inlineStr"/>
    </row>
    <row r="35" ht="20" customHeight="1">
      <c r="A35" s="6" t="inlineStr">
        <is>
          <t>LU_AREA_MERCL_LOGIS</t>
        </is>
      </c>
      <c r="B35" s="7" t="inlineStr">
        <is>
          <t>Lookup</t>
        </is>
      </c>
      <c r="C35" s="17" t="inlineStr">
        <is>
          <t>COD_AREA_MERC</t>
        </is>
      </c>
      <c r="D35" s="7" t="inlineStr">
        <is>
          <t>string</t>
        </is>
      </c>
      <c r="E35" s="18" t="inlineStr">
        <is>
          <t>PK</t>
        </is>
      </c>
      <c r="F35" s="8" t="inlineStr">
        <is>
          <t>ARM_COD_AREA_MERCEOLOGICA</t>
        </is>
      </c>
    </row>
    <row r="36" ht="20" customHeight="1">
      <c r="A36" s="6" t="inlineStr">
        <is>
          <t>LU_AREA_MERCL_LOGIS</t>
        </is>
      </c>
      <c r="B36" s="7" t="inlineStr">
        <is>
          <t>Lookup</t>
        </is>
      </c>
      <c r="C36" s="8" t="inlineStr">
        <is>
          <t>DES_AREA_MERC</t>
        </is>
      </c>
      <c r="D36" s="7" t="inlineStr">
        <is>
          <t>string</t>
        </is>
      </c>
      <c r="E36" s="7" t="inlineStr"/>
      <c r="F36" s="8" t="inlineStr">
        <is>
          <t>ARM_DES_AREA_MERCEOLOGICA</t>
        </is>
      </c>
    </row>
    <row r="37" ht="20" customHeight="1">
      <c r="A37" s="6" t="inlineStr">
        <is>
          <t>LU_AREA_MERCL_LOGIS</t>
        </is>
      </c>
      <c r="B37" s="7" t="inlineStr">
        <is>
          <t>Lookup</t>
        </is>
      </c>
      <c r="C37" s="8" t="inlineStr">
        <is>
          <t>TIPO_PREPARAZIONE</t>
        </is>
      </c>
      <c r="D37" s="7" t="inlineStr">
        <is>
          <t>string</t>
        </is>
      </c>
      <c r="E37" s="7" t="inlineStr"/>
      <c r="F37" s="8" t="inlineStr">
        <is>
          <t>ARM_TIPO_PREPARAZIONE</t>
        </is>
      </c>
    </row>
    <row r="38" ht="20" customHeight="1">
      <c r="A38" s="6" t="inlineStr">
        <is>
          <t>LU_AREA_MERCL_LOGIS</t>
        </is>
      </c>
      <c r="B38" s="7" t="inlineStr">
        <is>
          <t>Lookup</t>
        </is>
      </c>
      <c r="C38" s="8" t="inlineStr">
        <is>
          <t>DWH_UPDATED_AT</t>
        </is>
      </c>
      <c r="D38" s="7" t="inlineStr">
        <is>
          <t>timestamp</t>
        </is>
      </c>
      <c r="E38" s="7" t="inlineStr"/>
      <c r="F38" s="8" t="inlineStr"/>
    </row>
    <row r="39" ht="20" customHeight="1">
      <c r="A39" s="9" t="inlineStr">
        <is>
          <t>F_CARICO</t>
        </is>
      </c>
      <c r="B39" s="10" t="inlineStr">
        <is>
          <t>Fatto</t>
        </is>
      </c>
      <c r="C39" s="17" t="inlineStr">
        <is>
          <t>SITO_COD</t>
        </is>
      </c>
      <c r="D39" s="10" t="inlineStr">
        <is>
          <t>string</t>
        </is>
      </c>
      <c r="E39" s="18" t="inlineStr">
        <is>
          <t>PK/FK</t>
        </is>
      </c>
      <c r="F39" s="11" t="inlineStr"/>
    </row>
    <row r="40" ht="20" customHeight="1">
      <c r="A40" s="9" t="inlineStr">
        <is>
          <t>F_CARICO</t>
        </is>
      </c>
      <c r="B40" s="10" t="inlineStr">
        <is>
          <t>Fatto</t>
        </is>
      </c>
      <c r="C40" s="17" t="inlineStr">
        <is>
          <t>CARICO_NRO</t>
        </is>
      </c>
      <c r="D40" s="10" t="inlineStr">
        <is>
          <t>string</t>
        </is>
      </c>
      <c r="E40" s="18" t="inlineStr">
        <is>
          <t>PK</t>
        </is>
      </c>
      <c r="F40" s="11" t="inlineStr"/>
    </row>
    <row r="41" ht="20" customHeight="1">
      <c r="A41" s="9" t="inlineStr">
        <is>
          <t>F_CARICO</t>
        </is>
      </c>
      <c r="B41" s="10" t="inlineStr">
        <is>
          <t>Fatto</t>
        </is>
      </c>
      <c r="C41" s="17" t="inlineStr">
        <is>
          <t>MAG_COD</t>
        </is>
      </c>
      <c r="D41" s="10" t="inlineStr">
        <is>
          <t>string</t>
        </is>
      </c>
      <c r="E41" s="18" t="inlineStr">
        <is>
          <t>PK</t>
        </is>
      </c>
      <c r="F41" s="11" t="inlineStr"/>
    </row>
    <row r="42" ht="20" customHeight="1">
      <c r="A42" s="9" t="inlineStr">
        <is>
          <t>F_CARICO</t>
        </is>
      </c>
      <c r="B42" s="10" t="inlineStr">
        <is>
          <t>Fatto</t>
        </is>
      </c>
      <c r="C42" s="11" t="inlineStr">
        <is>
          <t>MSI_COD</t>
        </is>
      </c>
      <c r="D42" s="10" t="inlineStr">
        <is>
          <t>string</t>
        </is>
      </c>
      <c r="E42" s="10" t="inlineStr">
        <is>
          <t>FK</t>
        </is>
      </c>
      <c r="F42" s="11" t="inlineStr">
        <is>
          <t>Codice articolo MSI (Logistix). Join master LU_ART_RADICE opzionale (OP-02)</t>
        </is>
      </c>
    </row>
    <row r="43" ht="20" customHeight="1">
      <c r="A43" s="9" t="inlineStr">
        <is>
          <t>F_CARICO</t>
        </is>
      </c>
      <c r="B43" s="10" t="inlineStr">
        <is>
          <t>Fatto</t>
        </is>
      </c>
      <c r="C43" s="11" t="inlineStr">
        <is>
          <t>FORNITORE_COD</t>
        </is>
      </c>
      <c r="D43" s="10" t="inlineStr">
        <is>
          <t>string</t>
        </is>
      </c>
      <c r="E43" s="10" t="inlineStr">
        <is>
          <t>FK</t>
        </is>
      </c>
      <c r="F43" s="11" t="inlineStr">
        <is>
          <t>Join master LU_FORNITORE opzionale (OP-02)</t>
        </is>
      </c>
    </row>
    <row r="44" ht="20" customHeight="1">
      <c r="A44" s="9" t="inlineStr">
        <is>
          <t>F_CARICO</t>
        </is>
      </c>
      <c r="B44" s="10" t="inlineStr">
        <is>
          <t>Fatto</t>
        </is>
      </c>
      <c r="C44" s="11" t="inlineStr">
        <is>
          <t>DATA_CARICO</t>
        </is>
      </c>
      <c r="D44" s="10" t="inlineStr">
        <is>
          <t>date</t>
        </is>
      </c>
      <c r="E44" s="10" t="inlineStr">
        <is>
          <t>FK</t>
        </is>
      </c>
      <c r="F44" s="11" t="inlineStr"/>
    </row>
    <row r="45" ht="20" customHeight="1">
      <c r="A45" s="9" t="inlineStr">
        <is>
          <t>F_CARICO</t>
        </is>
      </c>
      <c r="B45" s="10" t="inlineStr">
        <is>
          <t>Fatto</t>
        </is>
      </c>
      <c r="C45" s="11" t="inlineStr">
        <is>
          <t>ORDINE_NRO</t>
        </is>
      </c>
      <c r="D45" s="10" t="inlineStr">
        <is>
          <t>string</t>
        </is>
      </c>
      <c r="E45" s="10" t="inlineStr"/>
      <c r="F45" s="11" t="inlineStr"/>
    </row>
    <row r="46" ht="20" customHeight="1">
      <c r="A46" s="9" t="inlineStr">
        <is>
          <t>F_CARICO</t>
        </is>
      </c>
      <c r="B46" s="10" t="inlineStr">
        <is>
          <t>Fatto</t>
        </is>
      </c>
      <c r="C46" s="11" t="inlineStr">
        <is>
          <t>QTA_ORDINATA</t>
        </is>
      </c>
      <c r="D46" s="10" t="inlineStr">
        <is>
          <t>double</t>
        </is>
      </c>
      <c r="E46" s="10" t="inlineStr"/>
      <c r="F46" s="11" t="inlineStr">
        <is>
          <t>SRCAR_QTA_ORDINATA</t>
        </is>
      </c>
    </row>
    <row r="47" ht="20" customHeight="1">
      <c r="A47" s="9" t="inlineStr">
        <is>
          <t>F_CARICO</t>
        </is>
      </c>
      <c r="B47" s="10" t="inlineStr">
        <is>
          <t>Fatto</t>
        </is>
      </c>
      <c r="C47" s="11" t="inlineStr">
        <is>
          <t>NRO_PZ_CARICATI</t>
        </is>
      </c>
      <c r="D47" s="10" t="inlineStr">
        <is>
          <t>double</t>
        </is>
      </c>
      <c r="E47" s="10" t="inlineStr"/>
      <c r="F47" s="11" t="inlineStr">
        <is>
          <t>SRCAR_NRO_PZ_CARICAT</t>
        </is>
      </c>
    </row>
    <row r="48" ht="20" customHeight="1">
      <c r="A48" s="9" t="inlineStr">
        <is>
          <t>F_CARICO</t>
        </is>
      </c>
      <c r="B48" s="10" t="inlineStr">
        <is>
          <t>Fatto</t>
        </is>
      </c>
      <c r="C48" s="11" t="inlineStr">
        <is>
          <t>QTA_UF_RILEVATA</t>
        </is>
      </c>
      <c r="D48" s="10" t="inlineStr">
        <is>
          <t>double</t>
        </is>
      </c>
      <c r="E48" s="10" t="inlineStr"/>
      <c r="F48" s="11" t="inlineStr"/>
    </row>
    <row r="49" ht="20" customHeight="1">
      <c r="A49" s="9" t="inlineStr">
        <is>
          <t>F_CARICO</t>
        </is>
      </c>
      <c r="B49" s="10" t="inlineStr">
        <is>
          <t>Fatto</t>
        </is>
      </c>
      <c r="C49" s="11" t="inlineStr">
        <is>
          <t>QTA_PZ_FORNITORE</t>
        </is>
      </c>
      <c r="D49" s="10" t="inlineStr">
        <is>
          <t>double</t>
        </is>
      </c>
      <c r="E49" s="10" t="inlineStr"/>
      <c r="F49" s="11" t="inlineStr"/>
    </row>
    <row r="50" ht="20" customHeight="1">
      <c r="A50" s="9" t="inlineStr">
        <is>
          <t>F_CARICO</t>
        </is>
      </c>
      <c r="B50" s="10" t="inlineStr">
        <is>
          <t>Fatto</t>
        </is>
      </c>
      <c r="C50" s="11" t="inlineStr">
        <is>
          <t>QTA_UF_FORNITORE</t>
        </is>
      </c>
      <c r="D50" s="10" t="inlineStr">
        <is>
          <t>double</t>
        </is>
      </c>
      <c r="E50" s="10" t="inlineStr"/>
      <c r="F50" s="11" t="inlineStr"/>
    </row>
    <row r="51" ht="20" customHeight="1">
      <c r="A51" s="9" t="inlineStr">
        <is>
          <t>F_CARICO</t>
        </is>
      </c>
      <c r="B51" s="10" t="inlineStr">
        <is>
          <t>Fatto</t>
        </is>
      </c>
      <c r="C51" s="11" t="inlineStr">
        <is>
          <t>PREZZO_ACQUISTO</t>
        </is>
      </c>
      <c r="D51" s="10" t="inlineStr">
        <is>
          <t>double</t>
        </is>
      </c>
      <c r="E51" s="10" t="inlineStr"/>
      <c r="F51" s="11" t="inlineStr"/>
    </row>
    <row r="52" ht="20" customHeight="1">
      <c r="A52" s="9" t="inlineStr">
        <is>
          <t>F_CARICO</t>
        </is>
      </c>
      <c r="B52" s="10" t="inlineStr">
        <is>
          <t>Fatto</t>
        </is>
      </c>
      <c r="C52" s="11" t="inlineStr">
        <is>
          <t>SCARTO_QTA</t>
        </is>
      </c>
      <c r="D52" s="10" t="inlineStr">
        <is>
          <t>double</t>
        </is>
      </c>
      <c r="E52" s="10" t="inlineStr"/>
      <c r="F52" s="11">
        <f> QTA_ORDINATA - NRO_PZ_CARICATI</f>
        <v/>
      </c>
    </row>
    <row r="53" ht="20" customHeight="1">
      <c r="A53" s="9" t="inlineStr">
        <is>
          <t>F_CARICO</t>
        </is>
      </c>
      <c r="B53" s="10" t="inlineStr">
        <is>
          <t>Fatto</t>
        </is>
      </c>
      <c r="C53" s="11" t="inlineStr">
        <is>
          <t>FLAG_SCARTO</t>
        </is>
      </c>
      <c r="D53" s="10" t="inlineStr">
        <is>
          <t>boolean</t>
        </is>
      </c>
      <c r="E53" s="10" t="inlineStr"/>
      <c r="F53" s="11" t="inlineStr">
        <is>
          <t>SCARTO_QTA &lt;&gt; 0</t>
        </is>
      </c>
    </row>
    <row r="54" ht="20" customHeight="1">
      <c r="A54" s="9" t="inlineStr">
        <is>
          <t>F_CARICO</t>
        </is>
      </c>
      <c r="B54" s="10" t="inlineStr">
        <is>
          <t>Fatto</t>
        </is>
      </c>
      <c r="C54" s="11" t="inlineStr">
        <is>
          <t>PESO_LORDO</t>
        </is>
      </c>
      <c r="D54" s="10" t="inlineStr">
        <is>
          <t>double</t>
        </is>
      </c>
      <c r="E54" s="10" t="inlineStr"/>
      <c r="F54" s="11" t="inlineStr">
        <is>
          <t>Da pesata (coalesce null)</t>
        </is>
      </c>
    </row>
    <row r="55" ht="20" customHeight="1">
      <c r="A55" s="9" t="inlineStr">
        <is>
          <t>F_CARICO</t>
        </is>
      </c>
      <c r="B55" s="10" t="inlineStr">
        <is>
          <t>Fatto</t>
        </is>
      </c>
      <c r="C55" s="11" t="inlineStr">
        <is>
          <t>PESO_MEDIO</t>
        </is>
      </c>
      <c r="D55" s="10" t="inlineStr">
        <is>
          <t>double</t>
        </is>
      </c>
      <c r="E55" s="10" t="inlineStr"/>
      <c r="F55" s="11" t="inlineStr">
        <is>
          <t>Da pesata</t>
        </is>
      </c>
    </row>
    <row r="56" ht="20" customHeight="1">
      <c r="A56" s="9" t="inlineStr">
        <is>
          <t>F_CARICO</t>
        </is>
      </c>
      <c r="B56" s="10" t="inlineStr">
        <is>
          <t>Fatto</t>
        </is>
      </c>
      <c r="C56" s="11" t="inlineStr">
        <is>
          <t>NRO_COLLI</t>
        </is>
      </c>
      <c r="D56" s="10" t="inlineStr">
        <is>
          <t>integer</t>
        </is>
      </c>
      <c r="E56" s="10" t="inlineStr"/>
      <c r="F56" s="11" t="inlineStr">
        <is>
          <t>Da pesata</t>
        </is>
      </c>
    </row>
    <row r="57" ht="20" customHeight="1">
      <c r="A57" s="9" t="inlineStr">
        <is>
          <t>F_CARICO</t>
        </is>
      </c>
      <c r="B57" s="10" t="inlineStr">
        <is>
          <t>Fatto</t>
        </is>
      </c>
      <c r="C57" s="11" t="inlineStr">
        <is>
          <t>CORRIERE_COD</t>
        </is>
      </c>
      <c r="D57" s="10" t="inlineStr">
        <is>
          <t>string</t>
        </is>
      </c>
      <c r="E57" s="10" t="inlineStr">
        <is>
          <t>FK</t>
        </is>
      </c>
      <c r="F57" s="11" t="inlineStr"/>
    </row>
    <row r="58" ht="20" customHeight="1">
      <c r="A58" s="9" t="inlineStr">
        <is>
          <t>F_CARICO</t>
        </is>
      </c>
      <c r="B58" s="10" t="inlineStr">
        <is>
          <t>Fatto</t>
        </is>
      </c>
      <c r="C58" s="11" t="inlineStr">
        <is>
          <t>TIPO_ORDINE</t>
        </is>
      </c>
      <c r="D58" s="10" t="inlineStr">
        <is>
          <t>string</t>
        </is>
      </c>
      <c r="E58" s="10" t="inlineStr"/>
      <c r="F58" s="11" t="inlineStr"/>
    </row>
    <row r="59" ht="20" customHeight="1">
      <c r="A59" s="9" t="inlineStr">
        <is>
          <t>F_CARICO</t>
        </is>
      </c>
      <c r="B59" s="10" t="inlineStr">
        <is>
          <t>Fatto</t>
        </is>
      </c>
      <c r="C59" s="11" t="inlineStr">
        <is>
          <t>TIPO_CONSEGNA</t>
        </is>
      </c>
      <c r="D59" s="10" t="inlineStr">
        <is>
          <t>string</t>
        </is>
      </c>
      <c r="E59" s="10" t="inlineStr"/>
      <c r="F59" s="11" t="inlineStr"/>
    </row>
    <row r="60" ht="20" customHeight="1">
      <c r="A60" s="9" t="inlineStr">
        <is>
          <t>F_CARICO</t>
        </is>
      </c>
      <c r="B60" s="10" t="inlineStr">
        <is>
          <t>Fatto</t>
        </is>
      </c>
      <c r="C60" s="11" t="inlineStr">
        <is>
          <t>OPERATORE_COD</t>
        </is>
      </c>
      <c r="D60" s="10" t="inlineStr">
        <is>
          <t>string</t>
        </is>
      </c>
      <c r="E60" s="10" t="inlineStr">
        <is>
          <t>FK</t>
        </is>
      </c>
      <c r="F60" s="11" t="inlineStr"/>
    </row>
    <row r="61" ht="20" customHeight="1">
      <c r="A61" s="9" t="inlineStr">
        <is>
          <t>F_CARICO</t>
        </is>
      </c>
      <c r="B61" s="10" t="inlineStr">
        <is>
          <t>Fatto</t>
        </is>
      </c>
      <c r="C61" s="11" t="inlineStr">
        <is>
          <t>RICEVITORE_COD</t>
        </is>
      </c>
      <c r="D61" s="10" t="inlineStr">
        <is>
          <t>string</t>
        </is>
      </c>
      <c r="E61" s="10" t="inlineStr"/>
      <c r="F61" s="11" t="inlineStr"/>
    </row>
    <row r="62" ht="20" customHeight="1">
      <c r="A62" s="9" t="inlineStr">
        <is>
          <t>F_CARICO</t>
        </is>
      </c>
      <c r="B62" s="10" t="inlineStr">
        <is>
          <t>Fatto</t>
        </is>
      </c>
      <c r="C62" s="11" t="inlineStr">
        <is>
          <t>ANNO_MESE</t>
        </is>
      </c>
      <c r="D62" s="10" t="inlineStr">
        <is>
          <t>string</t>
        </is>
      </c>
      <c r="E62" s="10" t="inlineStr">
        <is>
          <t>PART</t>
        </is>
      </c>
      <c r="F62" s="11" t="inlineStr">
        <is>
          <t>Partizione YYYYMM</t>
        </is>
      </c>
    </row>
    <row r="63" ht="20" customHeight="1">
      <c r="A63" s="9" t="inlineStr">
        <is>
          <t>F_CARICO</t>
        </is>
      </c>
      <c r="B63" s="10" t="inlineStr">
        <is>
          <t>Fatto</t>
        </is>
      </c>
      <c r="C63" s="11" t="inlineStr">
        <is>
          <t>DWH_UPDATED_AT</t>
        </is>
      </c>
      <c r="D63" s="10" t="inlineStr">
        <is>
          <t>timestamp</t>
        </is>
      </c>
      <c r="E63" s="10" t="inlineStr"/>
      <c r="F63" s="11" t="inlineStr"/>
    </row>
    <row r="64" ht="20" customHeight="1">
      <c r="A64" s="9" t="inlineStr">
        <is>
          <t>F_GIACENZE_DAILY</t>
        </is>
      </c>
      <c r="B64" s="10" t="inlineStr">
        <is>
          <t>Fatto</t>
        </is>
      </c>
      <c r="C64" s="17" t="inlineStr">
        <is>
          <t>DATA_FOTO</t>
        </is>
      </c>
      <c r="D64" s="10" t="inlineStr">
        <is>
          <t>date</t>
        </is>
      </c>
      <c r="E64" s="18" t="inlineStr">
        <is>
          <t>PK/PART</t>
        </is>
      </c>
      <c r="F64" s="11" t="inlineStr">
        <is>
          <t>Da _bronze_load_date</t>
        </is>
      </c>
    </row>
    <row r="65" ht="20" customHeight="1">
      <c r="A65" s="9" t="inlineStr">
        <is>
          <t>F_GIACENZE_DAILY</t>
        </is>
      </c>
      <c r="B65" s="10" t="inlineStr">
        <is>
          <t>Fatto</t>
        </is>
      </c>
      <c r="C65" s="17" t="inlineStr">
        <is>
          <t>ART_COD_INTERNO</t>
        </is>
      </c>
      <c r="D65" s="10" t="inlineStr">
        <is>
          <t>string</t>
        </is>
      </c>
      <c r="E65" s="18" t="inlineStr">
        <is>
          <t>PK</t>
        </is>
      </c>
      <c r="F65" s="11" t="inlineStr">
        <is>
          <t>STKCINT — codice articolo interno CND</t>
        </is>
      </c>
    </row>
    <row r="66" ht="20" customHeight="1">
      <c r="A66" s="9" t="inlineStr">
        <is>
          <t>F_GIACENZE_DAILY</t>
        </is>
      </c>
      <c r="B66" s="10" t="inlineStr">
        <is>
          <t>Fatto</t>
        </is>
      </c>
      <c r="C66" s="11" t="inlineStr">
        <is>
          <t>ART_RADICE</t>
        </is>
      </c>
      <c r="D66" s="10" t="inlineStr">
        <is>
          <t>string</t>
        </is>
      </c>
      <c r="E66" s="10" t="inlineStr"/>
      <c r="F66" s="11" t="inlineStr">
        <is>
          <t>Normalizzato in Silver</t>
        </is>
      </c>
    </row>
    <row r="67" ht="20" customHeight="1">
      <c r="A67" s="9" t="inlineStr">
        <is>
          <t>F_GIACENZE_DAILY</t>
        </is>
      </c>
      <c r="B67" s="10" t="inlineStr">
        <is>
          <t>Fatto</t>
        </is>
      </c>
      <c r="C67" s="11" t="inlineStr">
        <is>
          <t>ART_VAR</t>
        </is>
      </c>
      <c r="D67" s="10" t="inlineStr">
        <is>
          <t>string</t>
        </is>
      </c>
      <c r="E67" s="10" t="inlineStr"/>
      <c r="F67" s="11" t="inlineStr">
        <is>
          <t>Normalizzato in Silver</t>
        </is>
      </c>
    </row>
    <row r="68" ht="20" customHeight="1">
      <c r="A68" s="9" t="inlineStr">
        <is>
          <t>F_GIACENZE_DAILY</t>
        </is>
      </c>
      <c r="B68" s="10" t="inlineStr">
        <is>
          <t>Fatto</t>
        </is>
      </c>
      <c r="C68" s="17" t="inlineStr">
        <is>
          <t>MAG_COD</t>
        </is>
      </c>
      <c r="D68" s="10" t="inlineStr">
        <is>
          <t>string</t>
        </is>
      </c>
      <c r="E68" s="18" t="inlineStr">
        <is>
          <t>PK/FK</t>
        </is>
      </c>
      <c r="F68" s="11" t="inlineStr">
        <is>
          <t>STKNMAG (giacenze per MAG, non per SITO)</t>
        </is>
      </c>
    </row>
    <row r="69" ht="20" customHeight="1">
      <c r="A69" s="9" t="inlineStr">
        <is>
          <t>F_GIACENZE_DAILY</t>
        </is>
      </c>
      <c r="B69" s="10" t="inlineStr">
        <is>
          <t>Fatto</t>
        </is>
      </c>
      <c r="C69" s="11" t="inlineStr">
        <is>
          <t>EAN</t>
        </is>
      </c>
      <c r="D69" s="10" t="inlineStr">
        <is>
          <t>string</t>
        </is>
      </c>
      <c r="E69" s="10" t="inlineStr"/>
      <c r="F69" s="11" t="inlineStr"/>
    </row>
    <row r="70" ht="20" customHeight="1">
      <c r="A70" s="9" t="inlineStr">
        <is>
          <t>F_GIACENZE_DAILY</t>
        </is>
      </c>
      <c r="B70" s="10" t="inlineStr">
        <is>
          <t>Fatto</t>
        </is>
      </c>
      <c r="C70" s="11" t="inlineStr">
        <is>
          <t>QTA_PEZZI</t>
        </is>
      </c>
      <c r="D70" s="10" t="inlineStr">
        <is>
          <t>double</t>
        </is>
      </c>
      <c r="E70" s="10" t="inlineStr"/>
      <c r="F70" s="11" t="inlineStr">
        <is>
          <t>STKQTAPZ</t>
        </is>
      </c>
    </row>
    <row r="71" ht="20" customHeight="1">
      <c r="A71" s="9" t="inlineStr">
        <is>
          <t>F_GIACENZE_DAILY</t>
        </is>
      </c>
      <c r="B71" s="10" t="inlineStr">
        <is>
          <t>Fatto</t>
        </is>
      </c>
      <c r="C71" s="11" t="inlineStr">
        <is>
          <t>QTA_UF</t>
        </is>
      </c>
      <c r="D71" s="10" t="inlineStr">
        <is>
          <t>double</t>
        </is>
      </c>
      <c r="E71" s="10" t="inlineStr"/>
      <c r="F71" s="11" t="inlineStr">
        <is>
          <t>STKQTAUF</t>
        </is>
      </c>
    </row>
    <row r="72" ht="20" customHeight="1">
      <c r="A72" s="9" t="inlineStr">
        <is>
          <t>F_GIACENZE_DAILY</t>
        </is>
      </c>
      <c r="B72" s="10" t="inlineStr">
        <is>
          <t>Fatto</t>
        </is>
      </c>
      <c r="C72" s="11" t="inlineStr">
        <is>
          <t>QTA_IN_SCADENZA</t>
        </is>
      </c>
      <c r="D72" s="10" t="inlineStr">
        <is>
          <t>double</t>
        </is>
      </c>
      <c r="E72" s="10" t="inlineStr"/>
      <c r="F72" s="11" t="inlineStr"/>
    </row>
    <row r="73" ht="20" customHeight="1">
      <c r="A73" s="9" t="inlineStr">
        <is>
          <t>F_GIACENZE_DAILY</t>
        </is>
      </c>
      <c r="B73" s="10" t="inlineStr">
        <is>
          <t>Fatto</t>
        </is>
      </c>
      <c r="C73" s="11" t="inlineStr">
        <is>
          <t>QTA_PZ_ORD_CLIENTE</t>
        </is>
      </c>
      <c r="D73" s="10" t="inlineStr">
        <is>
          <t>double</t>
        </is>
      </c>
      <c r="E73" s="10" t="inlineStr"/>
      <c r="F73" s="11" t="inlineStr"/>
    </row>
    <row r="74" ht="20" customHeight="1">
      <c r="A74" s="9" t="inlineStr">
        <is>
          <t>F_GIACENZE_DAILY</t>
        </is>
      </c>
      <c r="B74" s="10" t="inlineStr">
        <is>
          <t>Fatto</t>
        </is>
      </c>
      <c r="C74" s="11" t="inlineStr">
        <is>
          <t>QTA_PZ_PREP_CLIENTE</t>
        </is>
      </c>
      <c r="D74" s="10" t="inlineStr">
        <is>
          <t>double</t>
        </is>
      </c>
      <c r="E74" s="10" t="inlineStr"/>
      <c r="F74" s="11" t="inlineStr"/>
    </row>
    <row r="75" ht="20" customHeight="1">
      <c r="A75" s="9" t="inlineStr">
        <is>
          <t>F_GIACENZE_DAILY</t>
        </is>
      </c>
      <c r="B75" s="10" t="inlineStr">
        <is>
          <t>Fatto</t>
        </is>
      </c>
      <c r="C75" s="11" t="inlineStr">
        <is>
          <t>PREZZO_MEDIO_PONDERATO</t>
        </is>
      </c>
      <c r="D75" s="10" t="inlineStr">
        <is>
          <t>double</t>
        </is>
      </c>
      <c r="E75" s="10" t="inlineStr"/>
      <c r="F75" s="11" t="inlineStr"/>
    </row>
    <row r="76" ht="20" customHeight="1">
      <c r="A76" s="9" t="inlineStr">
        <is>
          <t>F_GIACENZE_DAILY</t>
        </is>
      </c>
      <c r="B76" s="10" t="inlineStr">
        <is>
          <t>Fatto</t>
        </is>
      </c>
      <c r="C76" s="11" t="inlineStr">
        <is>
          <t>DATA_MIN_SCADENZA</t>
        </is>
      </c>
      <c r="D76" s="10" t="inlineStr">
        <is>
          <t>date</t>
        </is>
      </c>
      <c r="E76" s="10" t="inlineStr"/>
      <c r="F76" s="11" t="inlineStr"/>
    </row>
    <row r="77" ht="20" customHeight="1">
      <c r="A77" s="9" t="inlineStr">
        <is>
          <t>F_GIACENZE_DAILY</t>
        </is>
      </c>
      <c r="B77" s="10" t="inlineStr">
        <is>
          <t>Fatto</t>
        </is>
      </c>
      <c r="C77" s="11" t="inlineStr">
        <is>
          <t>DATA_ULT_STOCK</t>
        </is>
      </c>
      <c r="D77" s="10" t="inlineStr">
        <is>
          <t>date</t>
        </is>
      </c>
      <c r="E77" s="10" t="inlineStr"/>
      <c r="F77" s="11" t="inlineStr"/>
    </row>
    <row r="78" ht="20" customHeight="1">
      <c r="A78" s="9" t="inlineStr">
        <is>
          <t>F_GIACENZE_DAILY</t>
        </is>
      </c>
      <c r="B78" s="10" t="inlineStr">
        <is>
          <t>Fatto</t>
        </is>
      </c>
      <c r="C78" s="11" t="inlineStr">
        <is>
          <t>DWH_UPDATED_AT</t>
        </is>
      </c>
      <c r="D78" s="10" t="inlineStr">
        <is>
          <t>timestamp</t>
        </is>
      </c>
      <c r="E78" s="10" t="inlineStr"/>
      <c r="F78" s="11" t="inlineStr"/>
    </row>
    <row r="79" ht="20" customHeight="1">
      <c r="A79" s="9" t="inlineStr">
        <is>
          <t>F_PREP_SPED</t>
        </is>
      </c>
      <c r="B79" s="10" t="inlineStr">
        <is>
          <t>Fatto</t>
        </is>
      </c>
      <c r="C79" s="17" t="inlineStr">
        <is>
          <t>SITO_COD</t>
        </is>
      </c>
      <c r="D79" s="10" t="inlineStr">
        <is>
          <t>string</t>
        </is>
      </c>
      <c r="E79" s="18" t="inlineStr">
        <is>
          <t>PK/FK</t>
        </is>
      </c>
      <c r="F79" s="11" t="inlineStr"/>
    </row>
    <row r="80" ht="20" customHeight="1">
      <c r="A80" s="9" t="inlineStr">
        <is>
          <t>F_PREP_SPED</t>
        </is>
      </c>
      <c r="B80" s="10" t="inlineStr">
        <is>
          <t>Fatto</t>
        </is>
      </c>
      <c r="C80" s="17" t="inlineStr">
        <is>
          <t>DATA_PREPARAZ</t>
        </is>
      </c>
      <c r="D80" s="10" t="inlineStr">
        <is>
          <t>date</t>
        </is>
      </c>
      <c r="E80" s="18" t="inlineStr">
        <is>
          <t>PK/PART</t>
        </is>
      </c>
      <c r="F80" s="11" t="inlineStr"/>
    </row>
    <row r="81" ht="20" customHeight="1">
      <c r="A81" s="9" t="inlineStr">
        <is>
          <t>F_PREP_SPED</t>
        </is>
      </c>
      <c r="B81" s="10" t="inlineStr">
        <is>
          <t>Fatto</t>
        </is>
      </c>
      <c r="C81" s="17" t="inlineStr">
        <is>
          <t>PREPARATORE_COD</t>
        </is>
      </c>
      <c r="D81" s="10" t="inlineStr">
        <is>
          <t>string</t>
        </is>
      </c>
      <c r="E81" s="18" t="inlineStr">
        <is>
          <t>PK/FK</t>
        </is>
      </c>
      <c r="F81" s="11" t="inlineStr">
        <is>
          <t>Join LU_OPERATORE tipo=PREPARATORE</t>
        </is>
      </c>
    </row>
    <row r="82" ht="20" customHeight="1">
      <c r="A82" s="9" t="inlineStr">
        <is>
          <t>F_PREP_SPED</t>
        </is>
      </c>
      <c r="B82" s="10" t="inlineStr">
        <is>
          <t>Fatto</t>
        </is>
      </c>
      <c r="C82" s="17" t="inlineStr">
        <is>
          <t>RIEPILOGO_NRO</t>
        </is>
      </c>
      <c r="D82" s="10" t="inlineStr">
        <is>
          <t>string</t>
        </is>
      </c>
      <c r="E82" s="18" t="inlineStr">
        <is>
          <t>PK</t>
        </is>
      </c>
      <c r="F82" s="11" t="inlineStr"/>
    </row>
    <row r="83" ht="20" customHeight="1">
      <c r="A83" s="9" t="inlineStr">
        <is>
          <t>F_PREP_SPED</t>
        </is>
      </c>
      <c r="B83" s="10" t="inlineStr">
        <is>
          <t>Fatto</t>
        </is>
      </c>
      <c r="C83" s="11" t="inlineStr">
        <is>
          <t>AREA_MERCEOLOGICA_COD</t>
        </is>
      </c>
      <c r="D83" s="10" t="inlineStr">
        <is>
          <t>string</t>
        </is>
      </c>
      <c r="E83" s="10" t="inlineStr">
        <is>
          <t>FK</t>
        </is>
      </c>
      <c r="F83" s="11" t="inlineStr">
        <is>
          <t>Join LU_AREA_MERCL_LOGIS</t>
        </is>
      </c>
    </row>
    <row r="84" ht="20" customHeight="1">
      <c r="A84" s="9" t="inlineStr">
        <is>
          <t>F_PREP_SPED</t>
        </is>
      </c>
      <c r="B84" s="10" t="inlineStr">
        <is>
          <t>Fatto</t>
        </is>
      </c>
      <c r="C84" s="11" t="inlineStr">
        <is>
          <t>ZONA_MAG_COD</t>
        </is>
      </c>
      <c r="D84" s="10" t="inlineStr">
        <is>
          <t>string</t>
        </is>
      </c>
      <c r="E84" s="10" t="inlineStr"/>
      <c r="F84" s="11" t="inlineStr"/>
    </row>
    <row r="85" ht="20" customHeight="1">
      <c r="A85" s="9" t="inlineStr">
        <is>
          <t>F_PREP_SPED</t>
        </is>
      </c>
      <c r="B85" s="10" t="inlineStr">
        <is>
          <t>Fatto</t>
        </is>
      </c>
      <c r="C85" s="11" t="inlineStr">
        <is>
          <t>REPARTO_PREP_COD</t>
        </is>
      </c>
      <c r="D85" s="10" t="inlineStr">
        <is>
          <t>string</t>
        </is>
      </c>
      <c r="E85" s="10" t="inlineStr"/>
      <c r="F85" s="11" t="inlineStr"/>
    </row>
    <row r="86" ht="20" customHeight="1">
      <c r="A86" s="9" t="inlineStr">
        <is>
          <t>F_PREP_SPED</t>
        </is>
      </c>
      <c r="B86" s="10" t="inlineStr">
        <is>
          <t>Fatto</t>
        </is>
      </c>
      <c r="C86" s="11" t="inlineStr">
        <is>
          <t>TIPO_IMBALLO</t>
        </is>
      </c>
      <c r="D86" s="10" t="inlineStr">
        <is>
          <t>string</t>
        </is>
      </c>
      <c r="E86" s="10" t="inlineStr"/>
      <c r="F86" s="11" t="inlineStr"/>
    </row>
    <row r="87" ht="20" customHeight="1">
      <c r="A87" s="9" t="inlineStr">
        <is>
          <t>F_PREP_SPED</t>
        </is>
      </c>
      <c r="B87" s="10" t="inlineStr">
        <is>
          <t>Fatto</t>
        </is>
      </c>
      <c r="C87" s="11" t="inlineStr">
        <is>
          <t>TIPO_RIEPILOGO</t>
        </is>
      </c>
      <c r="D87" s="10" t="inlineStr">
        <is>
          <t>string</t>
        </is>
      </c>
      <c r="E87" s="10" t="inlineStr"/>
      <c r="F87" s="11" t="inlineStr"/>
    </row>
    <row r="88" ht="20" customHeight="1">
      <c r="A88" s="9" t="inlineStr">
        <is>
          <t>F_PREP_SPED</t>
        </is>
      </c>
      <c r="B88" s="10" t="inlineStr">
        <is>
          <t>Fatto</t>
        </is>
      </c>
      <c r="C88" s="11" t="inlineStr">
        <is>
          <t>TS_INIZIO</t>
        </is>
      </c>
      <c r="D88" s="10" t="inlineStr">
        <is>
          <t>timestamp</t>
        </is>
      </c>
      <c r="E88" s="10" t="inlineStr"/>
      <c r="F88" s="11" t="inlineStr">
        <is>
          <t>DATA_INIZIO_PREP + ORA_INIZIO_PREP</t>
        </is>
      </c>
    </row>
    <row r="89" ht="20" customHeight="1">
      <c r="A89" s="9" t="inlineStr">
        <is>
          <t>F_PREP_SPED</t>
        </is>
      </c>
      <c r="B89" s="10" t="inlineStr">
        <is>
          <t>Fatto</t>
        </is>
      </c>
      <c r="C89" s="11" t="inlineStr">
        <is>
          <t>TS_FINE</t>
        </is>
      </c>
      <c r="D89" s="10" t="inlineStr">
        <is>
          <t>timestamp</t>
        </is>
      </c>
      <c r="E89" s="10" t="inlineStr"/>
      <c r="F89" s="11" t="inlineStr">
        <is>
          <t>DATA_FINE_PREP + ORA_FINE_PREP</t>
        </is>
      </c>
    </row>
    <row r="90" ht="20" customHeight="1">
      <c r="A90" s="9" t="inlineStr">
        <is>
          <t>F_PREP_SPED</t>
        </is>
      </c>
      <c r="B90" s="10" t="inlineStr">
        <is>
          <t>Fatto</t>
        </is>
      </c>
      <c r="C90" s="11" t="inlineStr">
        <is>
          <t>ORE_LAVORATE</t>
        </is>
      </c>
      <c r="D90" s="10" t="inlineStr">
        <is>
          <t>double</t>
        </is>
      </c>
      <c r="E90" s="10" t="inlineStr"/>
      <c r="F90" s="11" t="inlineStr">
        <is>
          <t>(TS_FINE - TS_INIZIO) in ore</t>
        </is>
      </c>
    </row>
    <row r="91" ht="20" customHeight="1">
      <c r="A91" s="9" t="inlineStr">
        <is>
          <t>F_PREP_SPED</t>
        </is>
      </c>
      <c r="B91" s="10" t="inlineStr">
        <is>
          <t>Fatto</t>
        </is>
      </c>
      <c r="C91" s="11" t="inlineStr">
        <is>
          <t>ORE_PRODUTTIVE</t>
        </is>
      </c>
      <c r="D91" s="10" t="inlineStr">
        <is>
          <t>double</t>
        </is>
      </c>
      <c r="E91" s="10" t="inlineStr"/>
      <c r="F91" s="11" t="inlineStr">
        <is>
          <t>Regola 30 min attrezzaggio rivista (prima sessione del giorno per operatore/sito)</t>
        </is>
      </c>
    </row>
    <row r="92" ht="20" customHeight="1">
      <c r="A92" s="9" t="inlineStr">
        <is>
          <t>F_PREP_SPED</t>
        </is>
      </c>
      <c r="B92" s="10" t="inlineStr">
        <is>
          <t>Fatto</t>
        </is>
      </c>
      <c r="C92" s="11" t="inlineStr">
        <is>
          <t>FLAG_TEMPO_ASSENTE</t>
        </is>
      </c>
      <c r="D92" s="10" t="inlineStr">
        <is>
          <t>boolean</t>
        </is>
      </c>
      <c r="E92" s="10" t="inlineStr"/>
      <c r="F92" s="11" t="inlineStr">
        <is>
          <t>True se TS_INIZIO/FINE nulli</t>
        </is>
      </c>
    </row>
    <row r="93" ht="20" customHeight="1">
      <c r="A93" s="9" t="inlineStr">
        <is>
          <t>F_PREP_SPED</t>
        </is>
      </c>
      <c r="B93" s="10" t="inlineStr">
        <is>
          <t>Fatto</t>
        </is>
      </c>
      <c r="C93" s="11" t="inlineStr">
        <is>
          <t>TOT_CARTONI</t>
        </is>
      </c>
      <c r="D93" s="10" t="inlineStr">
        <is>
          <t>double</t>
        </is>
      </c>
      <c r="E93" s="10" t="inlineStr"/>
      <c r="F93" s="11" t="inlineStr"/>
    </row>
    <row r="94" ht="20" customHeight="1">
      <c r="A94" s="9" t="inlineStr">
        <is>
          <t>F_PREP_SPED</t>
        </is>
      </c>
      <c r="B94" s="10" t="inlineStr">
        <is>
          <t>Fatto</t>
        </is>
      </c>
      <c r="C94" s="11" t="inlineStr">
        <is>
          <t>TOT_CARTONI_PREP</t>
        </is>
      </c>
      <c r="D94" s="10" t="inlineStr">
        <is>
          <t>double</t>
        </is>
      </c>
      <c r="E94" s="10" t="inlineStr"/>
      <c r="F94" s="11" t="inlineStr">
        <is>
          <t>Cartoni preparati</t>
        </is>
      </c>
    </row>
    <row r="95" ht="20" customHeight="1">
      <c r="A95" s="9" t="inlineStr">
        <is>
          <t>F_PREP_SPED</t>
        </is>
      </c>
      <c r="B95" s="10" t="inlineStr">
        <is>
          <t>Fatto</t>
        </is>
      </c>
      <c r="C95" s="11" t="inlineStr">
        <is>
          <t>TOT_CARTONI_INEVASI</t>
        </is>
      </c>
      <c r="D95" s="10" t="inlineStr">
        <is>
          <t>double</t>
        </is>
      </c>
      <c r="E95" s="10" t="inlineStr"/>
      <c r="F95" s="11" t="inlineStr"/>
    </row>
    <row r="96" ht="20" customHeight="1">
      <c r="A96" s="9" t="inlineStr">
        <is>
          <t>F_PREP_SPED</t>
        </is>
      </c>
      <c r="B96" s="10" t="inlineStr">
        <is>
          <t>Fatto</t>
        </is>
      </c>
      <c r="C96" s="11" t="inlineStr">
        <is>
          <t>TOT_QUINTALI</t>
        </is>
      </c>
      <c r="D96" s="10" t="inlineStr">
        <is>
          <t>double</t>
        </is>
      </c>
      <c r="E96" s="10" t="inlineStr"/>
      <c r="F96" s="11" t="inlineStr"/>
    </row>
    <row r="97" ht="20" customHeight="1">
      <c r="A97" s="9" t="inlineStr">
        <is>
          <t>F_PREP_SPED</t>
        </is>
      </c>
      <c r="B97" s="10" t="inlineStr">
        <is>
          <t>Fatto</t>
        </is>
      </c>
      <c r="C97" s="11" t="inlineStr">
        <is>
          <t>TOT_QUINTALI_PREP</t>
        </is>
      </c>
      <c r="D97" s="10" t="inlineStr">
        <is>
          <t>double</t>
        </is>
      </c>
      <c r="E97" s="10" t="inlineStr"/>
      <c r="F97" s="11" t="inlineStr"/>
    </row>
    <row r="98" ht="20" customHeight="1">
      <c r="A98" s="9" t="inlineStr">
        <is>
          <t>F_PREP_SPED</t>
        </is>
      </c>
      <c r="B98" s="10" t="inlineStr">
        <is>
          <t>Fatto</t>
        </is>
      </c>
      <c r="C98" s="11" t="inlineStr">
        <is>
          <t>TOT_QUINTALI_INEVASI</t>
        </is>
      </c>
      <c r="D98" s="10" t="inlineStr">
        <is>
          <t>double</t>
        </is>
      </c>
      <c r="E98" s="10" t="inlineStr"/>
      <c r="F98" s="11" t="inlineStr"/>
    </row>
    <row r="99" ht="20" customHeight="1">
      <c r="A99" s="9" t="inlineStr">
        <is>
          <t>F_PREP_SPED</t>
        </is>
      </c>
      <c r="B99" s="10" t="inlineStr">
        <is>
          <t>Fatto</t>
        </is>
      </c>
      <c r="C99" s="11" t="inlineStr">
        <is>
          <t>NUM_PREPARATI</t>
        </is>
      </c>
      <c r="D99" s="10" t="inlineStr">
        <is>
          <t>integer</t>
        </is>
      </c>
      <c r="E99" s="10" t="inlineStr"/>
      <c r="F99" s="11" t="inlineStr"/>
    </row>
    <row r="100" ht="20" customHeight="1">
      <c r="A100" s="9" t="inlineStr">
        <is>
          <t>F_PREP_SPED</t>
        </is>
      </c>
      <c r="B100" s="10" t="inlineStr">
        <is>
          <t>Fatto</t>
        </is>
      </c>
      <c r="C100" s="11" t="inlineStr">
        <is>
          <t>NUM_INEVASI</t>
        </is>
      </c>
      <c r="D100" s="10" t="inlineStr">
        <is>
          <t>integer</t>
        </is>
      </c>
      <c r="E100" s="10" t="inlineStr"/>
      <c r="F100" s="11" t="inlineStr"/>
    </row>
    <row r="101" ht="20" customHeight="1">
      <c r="A101" s="9" t="inlineStr">
        <is>
          <t>F_PREP_SPED</t>
        </is>
      </c>
      <c r="B101" s="10" t="inlineStr">
        <is>
          <t>Fatto</t>
        </is>
      </c>
      <c r="C101" s="11" t="inlineStr">
        <is>
          <t>NUM_REFERENZE</t>
        </is>
      </c>
      <c r="D101" s="10" t="inlineStr">
        <is>
          <t>integer</t>
        </is>
      </c>
      <c r="E101" s="10" t="inlineStr"/>
      <c r="F101" s="11" t="inlineStr"/>
    </row>
    <row r="102" ht="20" customHeight="1">
      <c r="A102" s="9" t="inlineStr">
        <is>
          <t>F_PREP_SPED</t>
        </is>
      </c>
      <c r="B102" s="10" t="inlineStr">
        <is>
          <t>Fatto</t>
        </is>
      </c>
      <c r="C102" s="11" t="inlineStr">
        <is>
          <t>GABBIE_PREPARATE</t>
        </is>
      </c>
      <c r="D102" s="10" t="inlineStr">
        <is>
          <t>integer</t>
        </is>
      </c>
      <c r="E102" s="10" t="inlineStr"/>
      <c r="F102" s="11" t="inlineStr"/>
    </row>
    <row r="103" ht="20" customHeight="1">
      <c r="A103" s="9" t="inlineStr">
        <is>
          <t>F_PREP_SPED</t>
        </is>
      </c>
      <c r="B103" s="10" t="inlineStr">
        <is>
          <t>Fatto</t>
        </is>
      </c>
      <c r="C103" s="11" t="inlineStr">
        <is>
          <t>PRODUTTIVITA_CARTONI_ORA</t>
        </is>
      </c>
      <c r="D103" s="10" t="inlineStr">
        <is>
          <t>double</t>
        </is>
      </c>
      <c r="E103" s="10" t="inlineStr"/>
      <c r="F103" s="11">
        <f> TOT_CARTONI_PREP / ORE_PRODUTTIVE (OP-27: non colli, non disponibili)</f>
        <v/>
      </c>
    </row>
    <row r="104" ht="20" customHeight="1">
      <c r="A104" s="9" t="inlineStr">
        <is>
          <t>F_PREP_SPED</t>
        </is>
      </c>
      <c r="B104" s="10" t="inlineStr">
        <is>
          <t>Fatto</t>
        </is>
      </c>
      <c r="C104" s="11" t="inlineStr">
        <is>
          <t>FLAG_ESEGUITO</t>
        </is>
      </c>
      <c r="D104" s="10" t="inlineStr">
        <is>
          <t>string</t>
        </is>
      </c>
      <c r="E104" s="10" t="inlineStr"/>
      <c r="F104" s="11" t="inlineStr"/>
    </row>
    <row r="105" ht="20" customHeight="1">
      <c r="A105" s="9" t="inlineStr">
        <is>
          <t>F_PREP_SPED</t>
        </is>
      </c>
      <c r="B105" s="10" t="inlineStr">
        <is>
          <t>Fatto</t>
        </is>
      </c>
      <c r="C105" s="11" t="inlineStr">
        <is>
          <t>DWH_UPDATED_AT</t>
        </is>
      </c>
      <c r="D105" s="10" t="inlineStr">
        <is>
          <t>timestamp</t>
        </is>
      </c>
      <c r="E105" s="10" t="inlineStr"/>
      <c r="F105" s="11" t="inlineStr"/>
    </row>
    <row r="106" ht="20" customHeight="1">
      <c r="A106" s="9" t="inlineStr">
        <is>
          <t>F_ORDINI</t>
        </is>
      </c>
      <c r="B106" s="10" t="inlineStr">
        <is>
          <t>Fatto</t>
        </is>
      </c>
      <c r="C106" s="17" t="inlineStr">
        <is>
          <t>SITO_COD</t>
        </is>
      </c>
      <c r="D106" s="10" t="inlineStr">
        <is>
          <t>string</t>
        </is>
      </c>
      <c r="E106" s="18" t="inlineStr">
        <is>
          <t>PK/FK</t>
        </is>
      </c>
      <c r="F106" s="11" t="inlineStr"/>
    </row>
    <row r="107" ht="20" customHeight="1">
      <c r="A107" s="9" t="inlineStr">
        <is>
          <t>F_ORDINI</t>
        </is>
      </c>
      <c r="B107" s="10" t="inlineStr">
        <is>
          <t>Fatto</t>
        </is>
      </c>
      <c r="C107" s="17" t="inlineStr">
        <is>
          <t>ORDINE_NRO</t>
        </is>
      </c>
      <c r="D107" s="10" t="inlineStr">
        <is>
          <t>string</t>
        </is>
      </c>
      <c r="E107" s="18" t="inlineStr">
        <is>
          <t>PK</t>
        </is>
      </c>
      <c r="F107" s="11" t="inlineStr"/>
    </row>
    <row r="108" ht="20" customHeight="1">
      <c r="A108" s="9" t="inlineStr">
        <is>
          <t>F_ORDINI</t>
        </is>
      </c>
      <c r="B108" s="10" t="inlineStr">
        <is>
          <t>Fatto</t>
        </is>
      </c>
      <c r="C108" s="17" t="inlineStr">
        <is>
          <t>CARICO_NRO</t>
        </is>
      </c>
      <c r="D108" s="10" t="inlineStr">
        <is>
          <t>string</t>
        </is>
      </c>
      <c r="E108" s="18" t="inlineStr">
        <is>
          <t>PK</t>
        </is>
      </c>
      <c r="F108" s="11" t="inlineStr"/>
    </row>
    <row r="109" ht="20" customHeight="1">
      <c r="A109" s="9" t="inlineStr">
        <is>
          <t>F_ORDINI</t>
        </is>
      </c>
      <c r="B109" s="10" t="inlineStr">
        <is>
          <t>Fatto</t>
        </is>
      </c>
      <c r="C109" s="17" t="inlineStr">
        <is>
          <t>MAG_COD</t>
        </is>
      </c>
      <c r="D109" s="10" t="inlineStr">
        <is>
          <t>string</t>
        </is>
      </c>
      <c r="E109" s="18" t="inlineStr">
        <is>
          <t>PK</t>
        </is>
      </c>
      <c r="F109" s="11" t="inlineStr"/>
    </row>
    <row r="110" ht="20" customHeight="1">
      <c r="A110" s="9" t="inlineStr">
        <is>
          <t>F_ORDINI</t>
        </is>
      </c>
      <c r="B110" s="10" t="inlineStr">
        <is>
          <t>Fatto</t>
        </is>
      </c>
      <c r="C110" s="11" t="inlineStr">
        <is>
          <t>FORNITORE_COD</t>
        </is>
      </c>
      <c r="D110" s="10" t="inlineStr">
        <is>
          <t>string</t>
        </is>
      </c>
      <c r="E110" s="10" t="inlineStr">
        <is>
          <t>FK</t>
        </is>
      </c>
      <c r="F110" s="11" t="inlineStr"/>
    </row>
    <row r="111" ht="20" customHeight="1">
      <c r="A111" s="9" t="inlineStr">
        <is>
          <t>F_ORDINI</t>
        </is>
      </c>
      <c r="B111" s="10" t="inlineStr">
        <is>
          <t>Fatto</t>
        </is>
      </c>
      <c r="C111" s="11" t="inlineStr">
        <is>
          <t>CORRIERE_COD</t>
        </is>
      </c>
      <c r="D111" s="10" t="inlineStr">
        <is>
          <t>string</t>
        </is>
      </c>
      <c r="E111" s="10" t="inlineStr">
        <is>
          <t>FK</t>
        </is>
      </c>
      <c r="F111" s="11" t="inlineStr"/>
    </row>
    <row r="112" ht="20" customHeight="1">
      <c r="A112" s="9" t="inlineStr">
        <is>
          <t>F_ORDINI</t>
        </is>
      </c>
      <c r="B112" s="10" t="inlineStr">
        <is>
          <t>Fatto</t>
        </is>
      </c>
      <c r="C112" s="11" t="inlineStr">
        <is>
          <t>DATA_CARICO</t>
        </is>
      </c>
      <c r="D112" s="10" t="inlineStr">
        <is>
          <t>date</t>
        </is>
      </c>
      <c r="E112" s="10" t="inlineStr">
        <is>
          <t>FK</t>
        </is>
      </c>
      <c r="F112" s="11" t="inlineStr"/>
    </row>
    <row r="113" ht="20" customHeight="1">
      <c r="A113" s="9" t="inlineStr">
        <is>
          <t>F_ORDINI</t>
        </is>
      </c>
      <c r="B113" s="10" t="inlineStr">
        <is>
          <t>Fatto</t>
        </is>
      </c>
      <c r="C113" s="11" t="inlineStr">
        <is>
          <t>DATA_EMISS_ORDINE</t>
        </is>
      </c>
      <c r="D113" s="10" t="inlineStr">
        <is>
          <t>date</t>
        </is>
      </c>
      <c r="E113" s="10" t="inlineStr"/>
      <c r="F113" s="11" t="inlineStr"/>
    </row>
    <row r="114" ht="20" customHeight="1">
      <c r="A114" s="9" t="inlineStr">
        <is>
          <t>F_ORDINI</t>
        </is>
      </c>
      <c r="B114" s="10" t="inlineStr">
        <is>
          <t>Fatto</t>
        </is>
      </c>
      <c r="C114" s="11" t="inlineStr">
        <is>
          <t>DATA_CONFERMA_ORDINE</t>
        </is>
      </c>
      <c r="D114" s="10" t="inlineStr">
        <is>
          <t>date</t>
        </is>
      </c>
      <c r="E114" s="10" t="inlineStr"/>
      <c r="F114" s="11" t="inlineStr"/>
    </row>
    <row r="115" ht="20" customHeight="1">
      <c r="A115" s="9" t="inlineStr">
        <is>
          <t>F_ORDINI</t>
        </is>
      </c>
      <c r="B115" s="10" t="inlineStr">
        <is>
          <t>Fatto</t>
        </is>
      </c>
      <c r="C115" s="11" t="inlineStr">
        <is>
          <t>TIPO_ORDINE</t>
        </is>
      </c>
      <c r="D115" s="10" t="inlineStr">
        <is>
          <t>string</t>
        </is>
      </c>
      <c r="E115" s="10" t="inlineStr"/>
      <c r="F115" s="11" t="inlineStr"/>
    </row>
    <row r="116" ht="20" customHeight="1">
      <c r="A116" s="9" t="inlineStr">
        <is>
          <t>F_ORDINI</t>
        </is>
      </c>
      <c r="B116" s="10" t="inlineStr">
        <is>
          <t>Fatto</t>
        </is>
      </c>
      <c r="C116" s="11" t="inlineStr">
        <is>
          <t>TIPO_CONSEGNA</t>
        </is>
      </c>
      <c r="D116" s="10" t="inlineStr">
        <is>
          <t>string</t>
        </is>
      </c>
      <c r="E116" s="10" t="inlineStr"/>
      <c r="F116" s="11" t="inlineStr"/>
    </row>
    <row r="117" ht="20" customHeight="1">
      <c r="A117" s="9" t="inlineStr">
        <is>
          <t>F_ORDINI</t>
        </is>
      </c>
      <c r="B117" s="10" t="inlineStr">
        <is>
          <t>Fatto</t>
        </is>
      </c>
      <c r="C117" s="11" t="inlineStr">
        <is>
          <t>FLAG_TRASFERITO</t>
        </is>
      </c>
      <c r="D117" s="10" t="inlineStr">
        <is>
          <t>string</t>
        </is>
      </c>
      <c r="E117" s="10" t="inlineStr"/>
      <c r="F117" s="11" t="inlineStr">
        <is>
          <t>Proxy stato 'non chiuso' = FLAG_TRASFERITO != 'S'</t>
        </is>
      </c>
    </row>
    <row r="118" ht="20" customHeight="1">
      <c r="A118" s="9" t="inlineStr">
        <is>
          <t>F_ORDINI</t>
        </is>
      </c>
      <c r="B118" s="10" t="inlineStr">
        <is>
          <t>Fatto</t>
        </is>
      </c>
      <c r="C118" s="11" t="inlineStr">
        <is>
          <t>ANNO_MESE</t>
        </is>
      </c>
      <c r="D118" s="10" t="inlineStr">
        <is>
          <t>string</t>
        </is>
      </c>
      <c r="E118" s="10" t="inlineStr">
        <is>
          <t>PART</t>
        </is>
      </c>
      <c r="F118" s="11" t="inlineStr"/>
    </row>
    <row r="119" ht="20" customHeight="1">
      <c r="A119" s="9" t="inlineStr">
        <is>
          <t>F_ORDINI</t>
        </is>
      </c>
      <c r="B119" s="10" t="inlineStr">
        <is>
          <t>Fatto</t>
        </is>
      </c>
      <c r="C119" s="11" t="inlineStr">
        <is>
          <t>DWH_UPDATED_AT</t>
        </is>
      </c>
      <c r="D119" s="10" t="inlineStr">
        <is>
          <t>timestamp</t>
        </is>
      </c>
      <c r="E119" s="10" t="inlineStr"/>
      <c r="F119" s="11" t="inlineStr"/>
    </row>
    <row r="120" ht="20" customHeight="1">
      <c r="A120" s="9" t="inlineStr">
        <is>
          <t>F_TRASPORTO</t>
        </is>
      </c>
      <c r="B120" s="10" t="inlineStr">
        <is>
          <t>Fatto</t>
        </is>
      </c>
      <c r="C120" s="17" t="inlineStr">
        <is>
          <t>TRASPORTO_ID</t>
        </is>
      </c>
      <c r="D120" s="10" t="inlineStr">
        <is>
          <t>string</t>
        </is>
      </c>
      <c r="E120" s="18" t="inlineStr">
        <is>
          <t>PK</t>
        </is>
      </c>
      <c r="F120" s="11" t="inlineStr">
        <is>
          <t>SP_ID</t>
        </is>
      </c>
    </row>
    <row r="121" ht="20" customHeight="1">
      <c r="A121" s="9" t="inlineStr">
        <is>
          <t>F_TRASPORTO</t>
        </is>
      </c>
      <c r="B121" s="10" t="inlineStr">
        <is>
          <t>Fatto</t>
        </is>
      </c>
      <c r="C121" s="17" t="inlineStr">
        <is>
          <t>SITO_COD</t>
        </is>
      </c>
      <c r="D121" s="10" t="inlineStr">
        <is>
          <t>string</t>
        </is>
      </c>
      <c r="E121" s="18" t="inlineStr">
        <is>
          <t>PK/FK</t>
        </is>
      </c>
      <c r="F121" s="11" t="inlineStr"/>
    </row>
    <row r="122" ht="20" customHeight="1">
      <c r="A122" s="9" t="inlineStr">
        <is>
          <t>F_TRASPORTO</t>
        </is>
      </c>
      <c r="B122" s="10" t="inlineStr">
        <is>
          <t>Fatto</t>
        </is>
      </c>
      <c r="C122" s="17" t="inlineStr">
        <is>
          <t>DATA_BOLLA</t>
        </is>
      </c>
      <c r="D122" s="10" t="inlineStr">
        <is>
          <t>date</t>
        </is>
      </c>
      <c r="E122" s="18" t="inlineStr">
        <is>
          <t>PK/PART</t>
        </is>
      </c>
      <c r="F122" s="11" t="inlineStr"/>
    </row>
    <row r="123" ht="20" customHeight="1">
      <c r="A123" s="9" t="inlineStr">
        <is>
          <t>F_TRASPORTO</t>
        </is>
      </c>
      <c r="B123" s="10" t="inlineStr">
        <is>
          <t>Fatto</t>
        </is>
      </c>
      <c r="C123" s="17" t="inlineStr">
        <is>
          <t>BOLLA_NRO</t>
        </is>
      </c>
      <c r="D123" s="10" t="inlineStr">
        <is>
          <t>string</t>
        </is>
      </c>
      <c r="E123" s="18" t="inlineStr">
        <is>
          <t>PK</t>
        </is>
      </c>
      <c r="F123" s="11" t="inlineStr"/>
    </row>
    <row r="124" ht="20" customHeight="1">
      <c r="A124" s="9" t="inlineStr">
        <is>
          <t>F_TRASPORTO</t>
        </is>
      </c>
      <c r="B124" s="10" t="inlineStr">
        <is>
          <t>Fatto</t>
        </is>
      </c>
      <c r="C124" s="11" t="inlineStr">
        <is>
          <t>CORRIERE_COD</t>
        </is>
      </c>
      <c r="D124" s="10" t="inlineStr">
        <is>
          <t>string</t>
        </is>
      </c>
      <c r="E124" s="10" t="inlineStr">
        <is>
          <t>FK</t>
        </is>
      </c>
      <c r="F124" s="11" t="inlineStr">
        <is>
          <t>Da VETTORE</t>
        </is>
      </c>
    </row>
    <row r="125" ht="20" customHeight="1">
      <c r="A125" s="9" t="inlineStr">
        <is>
          <t>F_TRASPORTO</t>
        </is>
      </c>
      <c r="B125" s="10" t="inlineStr">
        <is>
          <t>Fatto</t>
        </is>
      </c>
      <c r="C125" s="11" t="inlineStr">
        <is>
          <t>AUTISTA_SPED_COD</t>
        </is>
      </c>
      <c r="D125" s="10" t="inlineStr">
        <is>
          <t>string</t>
        </is>
      </c>
      <c r="E125" s="10" t="inlineStr"/>
      <c r="F125" s="11" t="inlineStr"/>
    </row>
    <row r="126" ht="20" customHeight="1">
      <c r="A126" s="9" t="inlineStr">
        <is>
          <t>F_TRASPORTO</t>
        </is>
      </c>
      <c r="B126" s="10" t="inlineStr">
        <is>
          <t>Fatto</t>
        </is>
      </c>
      <c r="C126" s="11" t="inlineStr">
        <is>
          <t>AUTOMEZZO</t>
        </is>
      </c>
      <c r="D126" s="10" t="inlineStr">
        <is>
          <t>string</t>
        </is>
      </c>
      <c r="E126" s="10" t="inlineStr"/>
      <c r="F126" s="11" t="inlineStr"/>
    </row>
    <row r="127" ht="20" customHeight="1">
      <c r="A127" s="9" t="inlineStr">
        <is>
          <t>F_TRASPORTO</t>
        </is>
      </c>
      <c r="B127" s="10" t="inlineStr">
        <is>
          <t>Fatto</t>
        </is>
      </c>
      <c r="C127" s="11" t="inlineStr">
        <is>
          <t>STATO</t>
        </is>
      </c>
      <c r="D127" s="10" t="inlineStr">
        <is>
          <t>string</t>
        </is>
      </c>
      <c r="E127" s="10" t="inlineStr"/>
      <c r="F127" s="11" t="inlineStr"/>
    </row>
    <row r="128" ht="20" customHeight="1">
      <c r="A128" s="9" t="inlineStr">
        <is>
          <t>F_TRASPORTO</t>
        </is>
      </c>
      <c r="B128" s="10" t="inlineStr">
        <is>
          <t>Fatto</t>
        </is>
      </c>
      <c r="C128" s="11" t="inlineStr">
        <is>
          <t>MTV_COD</t>
        </is>
      </c>
      <c r="D128" s="10" t="inlineStr">
        <is>
          <t>string</t>
        </is>
      </c>
      <c r="E128" s="10" t="inlineStr"/>
      <c r="F128" s="11" t="inlineStr"/>
    </row>
    <row r="129" ht="20" customHeight="1">
      <c r="A129" s="9" t="inlineStr">
        <is>
          <t>F_TRASPORTO</t>
        </is>
      </c>
      <c r="B129" s="10" t="inlineStr">
        <is>
          <t>Fatto</t>
        </is>
      </c>
      <c r="C129" s="11" t="inlineStr">
        <is>
          <t>AZIONE_COD</t>
        </is>
      </c>
      <c r="D129" s="10" t="inlineStr">
        <is>
          <t>string</t>
        </is>
      </c>
      <c r="E129" s="10" t="inlineStr"/>
      <c r="F129" s="11" t="inlineStr"/>
    </row>
    <row r="130" ht="20" customHeight="1">
      <c r="A130" s="9" t="inlineStr">
        <is>
          <t>F_TRASPORTO</t>
        </is>
      </c>
      <c r="B130" s="10" t="inlineStr">
        <is>
          <t>Fatto</t>
        </is>
      </c>
      <c r="C130" s="11" t="inlineStr">
        <is>
          <t>DATA_AZIONE</t>
        </is>
      </c>
      <c r="D130" s="10" t="inlineStr">
        <is>
          <t>date</t>
        </is>
      </c>
      <c r="E130" s="10" t="inlineStr"/>
      <c r="F130" s="11" t="inlineStr"/>
    </row>
    <row r="131" ht="20" customHeight="1">
      <c r="A131" s="9" t="inlineStr">
        <is>
          <t>F_TRASPORTO</t>
        </is>
      </c>
      <c r="B131" s="10" t="inlineStr">
        <is>
          <t>Fatto</t>
        </is>
      </c>
      <c r="C131" s="11" t="inlineStr">
        <is>
          <t>DATA_CONSEGNA_PREV</t>
        </is>
      </c>
      <c r="D131" s="10" t="inlineStr">
        <is>
          <t>date</t>
        </is>
      </c>
      <c r="E131" s="10" t="inlineStr"/>
      <c r="F131" s="11" t="inlineStr"/>
    </row>
    <row r="132" ht="20" customHeight="1">
      <c r="A132" s="9" t="inlineStr">
        <is>
          <t>F_TRASPORTO</t>
        </is>
      </c>
      <c r="B132" s="10" t="inlineStr">
        <is>
          <t>Fatto</t>
        </is>
      </c>
      <c r="C132" s="11" t="inlineStr">
        <is>
          <t>QTA</t>
        </is>
      </c>
      <c r="D132" s="10" t="inlineStr">
        <is>
          <t>double</t>
        </is>
      </c>
      <c r="E132" s="10" t="inlineStr"/>
      <c r="F132" s="11" t="inlineStr"/>
    </row>
    <row r="133" ht="20" customHeight="1">
      <c r="A133" s="9" t="inlineStr">
        <is>
          <t>F_TRASPORTO</t>
        </is>
      </c>
      <c r="B133" s="10" t="inlineStr">
        <is>
          <t>Fatto</t>
        </is>
      </c>
      <c r="C133" s="11" t="inlineStr">
        <is>
          <t>NUM_GITA</t>
        </is>
      </c>
      <c r="D133" s="10" t="inlineStr">
        <is>
          <t>integer</t>
        </is>
      </c>
      <c r="E133" s="10" t="inlineStr"/>
      <c r="F133" s="11" t="inlineStr"/>
    </row>
    <row r="134" ht="20" customHeight="1">
      <c r="A134" s="9" t="inlineStr">
        <is>
          <t>F_TRASPORTO</t>
        </is>
      </c>
      <c r="B134" s="10" t="inlineStr">
        <is>
          <t>Fatto</t>
        </is>
      </c>
      <c r="C134" s="11" t="inlineStr">
        <is>
          <t>LEAD_TIME_GG</t>
        </is>
      </c>
      <c r="D134" s="10" t="inlineStr">
        <is>
          <t>integer</t>
        </is>
      </c>
      <c r="E134" s="10" t="inlineStr"/>
      <c r="F134" s="11" t="inlineStr">
        <is>
          <t>Proxy = DATA_AZIONE - DATA_BOLLA</t>
        </is>
      </c>
    </row>
    <row r="135" ht="20" customHeight="1">
      <c r="A135" s="9" t="inlineStr">
        <is>
          <t>F_TRASPORTO</t>
        </is>
      </c>
      <c r="B135" s="10" t="inlineStr">
        <is>
          <t>Fatto</t>
        </is>
      </c>
      <c r="C135" s="11" t="inlineStr">
        <is>
          <t>COSTO_STIMATO_EUR</t>
        </is>
      </c>
      <c r="D135" s="10" t="inlineStr">
        <is>
          <t>double</t>
        </is>
      </c>
      <c r="E135" s="10" t="inlineStr"/>
      <c r="F135" s="11" t="inlineStr">
        <is>
          <t>Placeholder = QTA*0.15 (OP)</t>
        </is>
      </c>
    </row>
    <row r="136" ht="20" customHeight="1">
      <c r="A136" s="9" t="inlineStr">
        <is>
          <t>F_TRASPORTO</t>
        </is>
      </c>
      <c r="B136" s="10" t="inlineStr">
        <is>
          <t>Fatto</t>
        </is>
      </c>
      <c r="C136" s="11" t="inlineStr">
        <is>
          <t>DWH_UPDATED_AT</t>
        </is>
      </c>
      <c r="D136" s="10" t="inlineStr">
        <is>
          <t>timestamp</t>
        </is>
      </c>
      <c r="E136" s="10" t="inlineStr"/>
      <c r="F136" s="11" t="inlineStr"/>
    </row>
    <row r="137" ht="20" customHeight="1">
      <c r="A137" s="9" t="inlineStr">
        <is>
          <t>F_TRACCIABILITA_LOTTI</t>
        </is>
      </c>
      <c r="B137" s="10" t="inlineStr">
        <is>
          <t>Fatto</t>
        </is>
      </c>
      <c r="C137" s="17" t="inlineStr">
        <is>
          <t>SITO_COD</t>
        </is>
      </c>
      <c r="D137" s="10" t="inlineStr">
        <is>
          <t>string</t>
        </is>
      </c>
      <c r="E137" s="18" t="inlineStr">
        <is>
          <t>PK/FK</t>
        </is>
      </c>
      <c r="F137" s="11" t="inlineStr"/>
    </row>
    <row r="138" ht="20" customHeight="1">
      <c r="A138" s="9" t="inlineStr">
        <is>
          <t>F_TRACCIABILITA_LOTTI</t>
        </is>
      </c>
      <c r="B138" s="10" t="inlineStr">
        <is>
          <t>Fatto</t>
        </is>
      </c>
      <c r="C138" s="17" t="inlineStr">
        <is>
          <t>CARICO_NRO</t>
        </is>
      </c>
      <c r="D138" s="10" t="inlineStr">
        <is>
          <t>string</t>
        </is>
      </c>
      <c r="E138" s="18" t="inlineStr">
        <is>
          <t>PK</t>
        </is>
      </c>
      <c r="F138" s="11" t="inlineStr"/>
    </row>
    <row r="139" ht="20" customHeight="1">
      <c r="A139" s="9" t="inlineStr">
        <is>
          <t>F_TRACCIABILITA_LOTTI</t>
        </is>
      </c>
      <c r="B139" s="10" t="inlineStr">
        <is>
          <t>Fatto</t>
        </is>
      </c>
      <c r="C139" s="17" t="inlineStr">
        <is>
          <t>MSI_COD</t>
        </is>
      </c>
      <c r="D139" s="10" t="inlineStr">
        <is>
          <t>string</t>
        </is>
      </c>
      <c r="E139" s="18" t="inlineStr">
        <is>
          <t>PK/FK</t>
        </is>
      </c>
      <c r="F139" s="11" t="inlineStr">
        <is>
          <t>Articolo MSI (non ART_COD)</t>
        </is>
      </c>
    </row>
    <row r="140" ht="20" customHeight="1">
      <c r="A140" s="9" t="inlineStr">
        <is>
          <t>F_TRACCIABILITA_LOTTI</t>
        </is>
      </c>
      <c r="B140" s="10" t="inlineStr">
        <is>
          <t>Fatto</t>
        </is>
      </c>
      <c r="C140" s="11" t="inlineStr">
        <is>
          <t>DATA_CARICO</t>
        </is>
      </c>
      <c r="D140" s="10" t="inlineStr">
        <is>
          <t>date</t>
        </is>
      </c>
      <c r="E140" s="10" t="inlineStr">
        <is>
          <t>FK</t>
        </is>
      </c>
      <c r="F140" s="11" t="inlineStr"/>
    </row>
    <row r="141" ht="20" customHeight="1">
      <c r="A141" s="9" t="inlineStr">
        <is>
          <t>F_TRACCIABILITA_LOTTI</t>
        </is>
      </c>
      <c r="B141" s="10" t="inlineStr">
        <is>
          <t>Fatto</t>
        </is>
      </c>
      <c r="C141" s="11" t="inlineStr">
        <is>
          <t>NUM_ETICHETTE</t>
        </is>
      </c>
      <c r="D141" s="10" t="inlineStr">
        <is>
          <t>integer</t>
        </is>
      </c>
      <c r="E141" s="10" t="inlineStr"/>
      <c r="F141" s="11" t="inlineStr"/>
    </row>
    <row r="142" ht="20" customHeight="1">
      <c r="A142" s="9" t="inlineStr">
        <is>
          <t>F_TRACCIABILITA_LOTTI</t>
        </is>
      </c>
      <c r="B142" s="10" t="inlineStr">
        <is>
          <t>Fatto</t>
        </is>
      </c>
      <c r="C142" s="11" t="inlineStr">
        <is>
          <t>NUM_SSCC</t>
        </is>
      </c>
      <c r="D142" s="10" t="inlineStr">
        <is>
          <t>integer</t>
        </is>
      </c>
      <c r="E142" s="10" t="inlineStr"/>
      <c r="F142" s="11" t="inlineStr"/>
    </row>
    <row r="143" ht="20" customHeight="1">
      <c r="A143" s="9" t="inlineStr">
        <is>
          <t>F_TRACCIABILITA_LOTTI</t>
        </is>
      </c>
      <c r="B143" s="10" t="inlineStr">
        <is>
          <t>Fatto</t>
        </is>
      </c>
      <c r="C143" s="11" t="inlineStr">
        <is>
          <t>NUM_ANNULLATE</t>
        </is>
      </c>
      <c r="D143" s="10" t="inlineStr">
        <is>
          <t>integer</t>
        </is>
      </c>
      <c r="E143" s="10" t="inlineStr"/>
      <c r="F143" s="11" t="inlineStr"/>
    </row>
    <row r="144" ht="20" customHeight="1">
      <c r="A144" s="9" t="inlineStr">
        <is>
          <t>F_TRACCIABILITA_LOTTI</t>
        </is>
      </c>
      <c r="B144" s="10" t="inlineStr">
        <is>
          <t>Fatto</t>
        </is>
      </c>
      <c r="C144" s="11" t="inlineStr">
        <is>
          <t>NUM_TRASFERITE_STAT</t>
        </is>
      </c>
      <c r="D144" s="10" t="inlineStr">
        <is>
          <t>integer</t>
        </is>
      </c>
      <c r="E144" s="10" t="inlineStr"/>
      <c r="F144" s="11" t="inlineStr"/>
    </row>
    <row r="145" ht="20" customHeight="1">
      <c r="A145" s="9" t="inlineStr">
        <is>
          <t>F_TRACCIABILITA_LOTTI</t>
        </is>
      </c>
      <c r="B145" s="10" t="inlineStr">
        <is>
          <t>Fatto</t>
        </is>
      </c>
      <c r="C145" s="11" t="inlineStr">
        <is>
          <t>TASSO_ANNULLAMENTO</t>
        </is>
      </c>
      <c r="D145" s="10" t="inlineStr">
        <is>
          <t>double</t>
        </is>
      </c>
      <c r="E145" s="10" t="inlineStr"/>
      <c r="F145" s="11">
        <f> NUM_ANNULLATE / NUM_ETICHETTE</f>
        <v/>
      </c>
    </row>
    <row r="146" ht="20" customHeight="1">
      <c r="A146" s="9" t="inlineStr">
        <is>
          <t>F_TRACCIABILITA_LOTTI</t>
        </is>
      </c>
      <c r="B146" s="10" t="inlineStr">
        <is>
          <t>Fatto</t>
        </is>
      </c>
      <c r="C146" s="11" t="inlineStr">
        <is>
          <t>ANNO_MESE</t>
        </is>
      </c>
      <c r="D146" s="10" t="inlineStr">
        <is>
          <t>string</t>
        </is>
      </c>
      <c r="E146" s="10" t="inlineStr">
        <is>
          <t>PART</t>
        </is>
      </c>
      <c r="F146" s="11" t="inlineStr"/>
    </row>
    <row r="147" ht="20" customHeight="1">
      <c r="A147" s="9" t="inlineStr">
        <is>
          <t>F_TRACCIABILITA_LOTTI</t>
        </is>
      </c>
      <c r="B147" s="10" t="inlineStr">
        <is>
          <t>Fatto</t>
        </is>
      </c>
      <c r="C147" s="11" t="inlineStr">
        <is>
          <t>DWH_UPDATED_AT</t>
        </is>
      </c>
      <c r="D147" s="10" t="inlineStr">
        <is>
          <t>timestamp</t>
        </is>
      </c>
      <c r="E147" s="10" t="inlineStr"/>
      <c r="F147" s="11" t="inlineStr"/>
    </row>
    <row r="148" ht="20" customHeight="1">
      <c r="A148" s="9" t="inlineStr">
        <is>
          <t>F_MOVIMENTAZIONE_CARRELLISTI</t>
        </is>
      </c>
      <c r="B148" s="10" t="inlineStr">
        <is>
          <t>Fatto</t>
        </is>
      </c>
      <c r="C148" s="17" t="inlineStr">
        <is>
          <t>CARRELLISTA_COD</t>
        </is>
      </c>
      <c r="D148" s="10" t="inlineStr">
        <is>
          <t>string</t>
        </is>
      </c>
      <c r="E148" s="18" t="inlineStr">
        <is>
          <t>PK/FK</t>
        </is>
      </c>
      <c r="F148" s="11" t="inlineStr">
        <is>
          <t>Join LU_OPERATORE tipo=CARRELLISTA</t>
        </is>
      </c>
    </row>
    <row r="149" ht="20" customHeight="1">
      <c r="A149" s="9" t="inlineStr">
        <is>
          <t>F_MOVIMENTAZIONE_CARRELLISTI</t>
        </is>
      </c>
      <c r="B149" s="10" t="inlineStr">
        <is>
          <t>Fatto</t>
        </is>
      </c>
      <c r="C149" s="17" t="inlineStr">
        <is>
          <t>DATA_PRESENZA</t>
        </is>
      </c>
      <c r="D149" s="10" t="inlineStr">
        <is>
          <t>date</t>
        </is>
      </c>
      <c r="E149" s="18" t="inlineStr">
        <is>
          <t>PK/PART</t>
        </is>
      </c>
      <c r="F149" s="11" t="inlineStr"/>
    </row>
    <row r="150" ht="20" customHeight="1">
      <c r="A150" s="9" t="inlineStr">
        <is>
          <t>F_MOVIMENTAZIONE_CARRELLISTI</t>
        </is>
      </c>
      <c r="B150" s="10" t="inlineStr">
        <is>
          <t>Fatto</t>
        </is>
      </c>
      <c r="C150" s="17" t="inlineStr">
        <is>
          <t>SITO_COD</t>
        </is>
      </c>
      <c r="D150" s="10" t="inlineStr">
        <is>
          <t>string</t>
        </is>
      </c>
      <c r="E150" s="18" t="inlineStr">
        <is>
          <t>PK/FK</t>
        </is>
      </c>
      <c r="F150" s="11" t="inlineStr"/>
    </row>
    <row r="151" ht="20" customHeight="1">
      <c r="A151" s="9" t="inlineStr">
        <is>
          <t>F_MOVIMENTAZIONE_CARRELLISTI</t>
        </is>
      </c>
      <c r="B151" s="10" t="inlineStr">
        <is>
          <t>Fatto</t>
        </is>
      </c>
      <c r="C151" s="11" t="inlineStr">
        <is>
          <t>ORA_LOGIN</t>
        </is>
      </c>
      <c r="D151" s="10" t="inlineStr">
        <is>
          <t>timestamp</t>
        </is>
      </c>
      <c r="E151" s="10" t="inlineStr"/>
      <c r="F151" s="11" t="inlineStr"/>
    </row>
    <row r="152" ht="20" customHeight="1">
      <c r="A152" s="9" t="inlineStr">
        <is>
          <t>F_MOVIMENTAZIONE_CARRELLISTI</t>
        </is>
      </c>
      <c r="B152" s="10" t="inlineStr">
        <is>
          <t>Fatto</t>
        </is>
      </c>
      <c r="C152" s="11" t="inlineStr">
        <is>
          <t>ORA_LOGOUT</t>
        </is>
      </c>
      <c r="D152" s="10" t="inlineStr">
        <is>
          <t>timestamp</t>
        </is>
      </c>
      <c r="E152" s="10" t="inlineStr"/>
      <c r="F152" s="11" t="inlineStr"/>
    </row>
    <row r="153" ht="20" customHeight="1">
      <c r="A153" s="9" t="inlineStr">
        <is>
          <t>F_MOVIMENTAZIONE_CARRELLISTI</t>
        </is>
      </c>
      <c r="B153" s="10" t="inlineStr">
        <is>
          <t>Fatto</t>
        </is>
      </c>
      <c r="C153" s="11" t="inlineStr">
        <is>
          <t>ORE_PRESENZA</t>
        </is>
      </c>
      <c r="D153" s="10" t="inlineStr">
        <is>
          <t>double</t>
        </is>
      </c>
      <c r="E153" s="10" t="inlineStr"/>
      <c r="F153" s="11" t="inlineStr">
        <is>
          <t>Da cartellino</t>
        </is>
      </c>
    </row>
    <row r="154" ht="20" customHeight="1">
      <c r="A154" s="9" t="inlineStr">
        <is>
          <t>F_MOVIMENTAZIONE_CARRELLISTI</t>
        </is>
      </c>
      <c r="B154" s="10" t="inlineStr">
        <is>
          <t>Fatto</t>
        </is>
      </c>
      <c r="C154" s="11" t="inlineStr">
        <is>
          <t>FLG_SESSIONE_APERTA</t>
        </is>
      </c>
      <c r="D154" s="10" t="inlineStr">
        <is>
          <t>string</t>
        </is>
      </c>
      <c r="E154" s="10" t="inlineStr"/>
      <c r="F154" s="11" t="inlineStr"/>
    </row>
    <row r="155" ht="20" customHeight="1">
      <c r="A155" s="9" t="inlineStr">
        <is>
          <t>F_MOVIMENTAZIONE_CARRELLISTI</t>
        </is>
      </c>
      <c r="B155" s="10" t="inlineStr">
        <is>
          <t>Fatto</t>
        </is>
      </c>
      <c r="C155" s="11" t="inlineStr">
        <is>
          <t>NUM_MISSIONI</t>
        </is>
      </c>
      <c r="D155" s="10" t="inlineStr">
        <is>
          <t>integer</t>
        </is>
      </c>
      <c r="E155" s="10" t="inlineStr"/>
      <c r="F155" s="11" t="inlineStr">
        <is>
          <t>Aggregato da dettaglio_carr</t>
        </is>
      </c>
    </row>
    <row r="156" ht="20" customHeight="1">
      <c r="A156" s="9" t="inlineStr">
        <is>
          <t>F_MOVIMENTAZIONE_CARRELLISTI</t>
        </is>
      </c>
      <c r="B156" s="10" t="inlineStr">
        <is>
          <t>Fatto</t>
        </is>
      </c>
      <c r="C156" s="11" t="inlineStr">
        <is>
          <t>NUM_CARICHI</t>
        </is>
      </c>
      <c r="D156" s="10" t="inlineStr">
        <is>
          <t>integer</t>
        </is>
      </c>
      <c r="E156" s="10" t="inlineStr"/>
      <c r="F156" s="11" t="inlineStr"/>
    </row>
    <row r="157" ht="20" customHeight="1">
      <c r="A157" s="9" t="inlineStr">
        <is>
          <t>F_MOVIMENTAZIONE_CARRELLISTI</t>
        </is>
      </c>
      <c r="B157" s="10" t="inlineStr">
        <is>
          <t>Fatto</t>
        </is>
      </c>
      <c r="C157" s="11" t="inlineStr">
        <is>
          <t>NUM_RIEPILOGHI</t>
        </is>
      </c>
      <c r="D157" s="10" t="inlineStr">
        <is>
          <t>integer</t>
        </is>
      </c>
      <c r="E157" s="10" t="inlineStr"/>
      <c r="F157" s="11" t="inlineStr"/>
    </row>
    <row r="158" ht="20" customHeight="1">
      <c r="A158" s="9" t="inlineStr">
        <is>
          <t>F_MOVIMENTAZIONE_CARRELLISTI</t>
        </is>
      </c>
      <c r="B158" s="10" t="inlineStr">
        <is>
          <t>Fatto</t>
        </is>
      </c>
      <c r="C158" s="11" t="inlineStr">
        <is>
          <t>DURATA_TOT_MIN</t>
        </is>
      </c>
      <c r="D158" s="10" t="inlineStr">
        <is>
          <t>double</t>
        </is>
      </c>
      <c r="E158" s="10" t="inlineStr"/>
      <c r="F158" s="11" t="inlineStr">
        <is>
          <t>Sum durata missioni (DATA_EFFETTIVA_FINE - INIZIO)</t>
        </is>
      </c>
    </row>
    <row r="159" ht="20" customHeight="1">
      <c r="A159" s="9" t="inlineStr">
        <is>
          <t>F_MOVIMENTAZIONE_CARRELLISTI</t>
        </is>
      </c>
      <c r="B159" s="10" t="inlineStr">
        <is>
          <t>Fatto</t>
        </is>
      </c>
      <c r="C159" s="11" t="inlineStr">
        <is>
          <t>DWH_UPDATED_AT</t>
        </is>
      </c>
      <c r="D159" s="10" t="inlineStr">
        <is>
          <t>timestamp</t>
        </is>
      </c>
      <c r="E159" s="10" t="inlineStr"/>
      <c r="F159" s="11" t="inlineStr"/>
    </row>
    <row r="160" ht="20" customHeight="1">
      <c r="A160" s="12" t="inlineStr">
        <is>
          <t>A_INBOUND_MENSILE</t>
        </is>
      </c>
      <c r="B160" s="13" t="inlineStr">
        <is>
          <t>Aggregato</t>
        </is>
      </c>
      <c r="C160" s="17" t="inlineStr">
        <is>
          <t>FORNITORE_COD</t>
        </is>
      </c>
      <c r="D160" s="13" t="inlineStr">
        <is>
          <t>string</t>
        </is>
      </c>
      <c r="E160" s="18" t="inlineStr">
        <is>
          <t>PK</t>
        </is>
      </c>
      <c r="F160" s="14" t="inlineStr"/>
    </row>
    <row r="161" ht="20" customHeight="1">
      <c r="A161" s="12" t="inlineStr">
        <is>
          <t>A_INBOUND_MENSILE</t>
        </is>
      </c>
      <c r="B161" s="13" t="inlineStr">
        <is>
          <t>Aggregato</t>
        </is>
      </c>
      <c r="C161" s="17" t="inlineStr">
        <is>
          <t>SITO_COD</t>
        </is>
      </c>
      <c r="D161" s="13" t="inlineStr">
        <is>
          <t>string</t>
        </is>
      </c>
      <c r="E161" s="18" t="inlineStr">
        <is>
          <t>PK</t>
        </is>
      </c>
      <c r="F161" s="14" t="inlineStr"/>
    </row>
    <row r="162" ht="20" customHeight="1">
      <c r="A162" s="12" t="inlineStr">
        <is>
          <t>A_INBOUND_MENSILE</t>
        </is>
      </c>
      <c r="B162" s="13" t="inlineStr">
        <is>
          <t>Aggregato</t>
        </is>
      </c>
      <c r="C162" s="17" t="inlineStr">
        <is>
          <t>ANNO_MESE</t>
        </is>
      </c>
      <c r="D162" s="13" t="inlineStr">
        <is>
          <t>string</t>
        </is>
      </c>
      <c r="E162" s="18" t="inlineStr">
        <is>
          <t>PK/PART</t>
        </is>
      </c>
      <c r="F162" s="14" t="inlineStr"/>
    </row>
    <row r="163" ht="20" customHeight="1">
      <c r="A163" s="12" t="inlineStr">
        <is>
          <t>A_INBOUND_MENSILE</t>
        </is>
      </c>
      <c r="B163" s="13" t="inlineStr">
        <is>
          <t>Aggregato</t>
        </is>
      </c>
      <c r="C163" s="14" t="inlineStr">
        <is>
          <t>QTA_ORDINATA_TOT</t>
        </is>
      </c>
      <c r="D163" s="13" t="inlineStr">
        <is>
          <t>double</t>
        </is>
      </c>
      <c r="E163" s="13" t="inlineStr"/>
      <c r="F163" s="14" t="inlineStr"/>
    </row>
    <row r="164" ht="20" customHeight="1">
      <c r="A164" s="12" t="inlineStr">
        <is>
          <t>A_INBOUND_MENSILE</t>
        </is>
      </c>
      <c r="B164" s="13" t="inlineStr">
        <is>
          <t>Aggregato</t>
        </is>
      </c>
      <c r="C164" s="14" t="inlineStr">
        <is>
          <t>NRO_PZ_CARICATI_TOT</t>
        </is>
      </c>
      <c r="D164" s="13" t="inlineStr">
        <is>
          <t>double</t>
        </is>
      </c>
      <c r="E164" s="13" t="inlineStr"/>
      <c r="F164" s="14" t="inlineStr"/>
    </row>
    <row r="165" ht="20" customHeight="1">
      <c r="A165" s="12" t="inlineStr">
        <is>
          <t>A_INBOUND_MENSILE</t>
        </is>
      </c>
      <c r="B165" s="13" t="inlineStr">
        <is>
          <t>Aggregato</t>
        </is>
      </c>
      <c r="C165" s="14" t="inlineStr">
        <is>
          <t>SCARTO_QTA_TOT</t>
        </is>
      </c>
      <c r="D165" s="13" t="inlineStr">
        <is>
          <t>double</t>
        </is>
      </c>
      <c r="E165" s="13" t="inlineStr"/>
      <c r="F165" s="14" t="inlineStr"/>
    </row>
    <row r="166" ht="20" customHeight="1">
      <c r="A166" s="12" t="inlineStr">
        <is>
          <t>A_INBOUND_MENSILE</t>
        </is>
      </c>
      <c r="B166" s="13" t="inlineStr">
        <is>
          <t>Aggregato</t>
        </is>
      </c>
      <c r="C166" s="14" t="inlineStr">
        <is>
          <t>PESO_LORDO_TOT</t>
        </is>
      </c>
      <c r="D166" s="13" t="inlineStr">
        <is>
          <t>double</t>
        </is>
      </c>
      <c r="E166" s="13" t="inlineStr"/>
      <c r="F166" s="14" t="inlineStr"/>
    </row>
    <row r="167" ht="20" customHeight="1">
      <c r="A167" s="12" t="inlineStr">
        <is>
          <t>A_INBOUND_MENSILE</t>
        </is>
      </c>
      <c r="B167" s="13" t="inlineStr">
        <is>
          <t>Aggregato</t>
        </is>
      </c>
      <c r="C167" s="14" t="inlineStr">
        <is>
          <t>NUM_CARICHI</t>
        </is>
      </c>
      <c r="D167" s="13" t="inlineStr">
        <is>
          <t>long</t>
        </is>
      </c>
      <c r="E167" s="13" t="inlineStr"/>
      <c r="F167" s="14" t="inlineStr"/>
    </row>
    <row r="168" ht="20" customHeight="1">
      <c r="A168" s="12" t="inlineStr">
        <is>
          <t>A_INBOUND_MENSILE</t>
        </is>
      </c>
      <c r="B168" s="13" t="inlineStr">
        <is>
          <t>Aggregato</t>
        </is>
      </c>
      <c r="C168" s="14" t="inlineStr">
        <is>
          <t>NUM_RIGHE_DETTAGLIO</t>
        </is>
      </c>
      <c r="D168" s="13" t="inlineStr">
        <is>
          <t>long</t>
        </is>
      </c>
      <c r="E168" s="13" t="inlineStr"/>
      <c r="F168" s="14" t="inlineStr"/>
    </row>
    <row r="169" ht="20" customHeight="1">
      <c r="A169" s="12" t="inlineStr">
        <is>
          <t>A_INBOUND_MENSILE</t>
        </is>
      </c>
      <c r="B169" s="13" t="inlineStr">
        <is>
          <t>Aggregato</t>
        </is>
      </c>
      <c r="C169" s="14" t="inlineStr">
        <is>
          <t>TASSO_SCARTO</t>
        </is>
      </c>
      <c r="D169" s="13" t="inlineStr">
        <is>
          <t>double</t>
        </is>
      </c>
      <c r="E169" s="13" t="inlineStr"/>
      <c r="F169" s="14" t="inlineStr"/>
    </row>
    <row r="170" ht="20" customHeight="1">
      <c r="A170" s="12" t="inlineStr">
        <is>
          <t>A_INBOUND_MENSILE</t>
        </is>
      </c>
      <c r="B170" s="13" t="inlineStr">
        <is>
          <t>Aggregato</t>
        </is>
      </c>
      <c r="C170" s="14" t="inlineStr">
        <is>
          <t>DWH_UPDATED_AT</t>
        </is>
      </c>
      <c r="D170" s="13" t="inlineStr">
        <is>
          <t>timestamp</t>
        </is>
      </c>
      <c r="E170" s="13" t="inlineStr"/>
      <c r="F170" s="14" t="inlineStr"/>
    </row>
    <row r="171" ht="20" customHeight="1">
      <c r="A171" s="12" t="inlineStr">
        <is>
          <t>A_GIACENZE_MONTHLY</t>
        </is>
      </c>
      <c r="B171" s="13" t="inlineStr">
        <is>
          <t>Aggregato</t>
        </is>
      </c>
      <c r="C171" s="17" t="inlineStr">
        <is>
          <t>ART_RADICE</t>
        </is>
      </c>
      <c r="D171" s="13" t="inlineStr">
        <is>
          <t>string</t>
        </is>
      </c>
      <c r="E171" s="18" t="inlineStr">
        <is>
          <t>PK</t>
        </is>
      </c>
      <c r="F171" s="14" t="inlineStr"/>
    </row>
    <row r="172" ht="20" customHeight="1">
      <c r="A172" s="12" t="inlineStr">
        <is>
          <t>A_GIACENZE_MONTHLY</t>
        </is>
      </c>
      <c r="B172" s="13" t="inlineStr">
        <is>
          <t>Aggregato</t>
        </is>
      </c>
      <c r="C172" s="17" t="inlineStr">
        <is>
          <t>MAG_COD</t>
        </is>
      </c>
      <c r="D172" s="13" t="inlineStr">
        <is>
          <t>string</t>
        </is>
      </c>
      <c r="E172" s="18" t="inlineStr">
        <is>
          <t>PK</t>
        </is>
      </c>
      <c r="F172" s="14" t="inlineStr"/>
    </row>
    <row r="173" ht="20" customHeight="1">
      <c r="A173" s="12" t="inlineStr">
        <is>
          <t>A_GIACENZE_MONTHLY</t>
        </is>
      </c>
      <c r="B173" s="13" t="inlineStr">
        <is>
          <t>Aggregato</t>
        </is>
      </c>
      <c r="C173" s="17" t="inlineStr">
        <is>
          <t>ANNO_MESE</t>
        </is>
      </c>
      <c r="D173" s="13" t="inlineStr">
        <is>
          <t>string</t>
        </is>
      </c>
      <c r="E173" s="18" t="inlineStr">
        <is>
          <t>PK/PART</t>
        </is>
      </c>
      <c r="F173" s="14" t="inlineStr"/>
    </row>
    <row r="174" ht="20" customHeight="1">
      <c r="A174" s="12" t="inlineStr">
        <is>
          <t>A_GIACENZE_MONTHLY</t>
        </is>
      </c>
      <c r="B174" s="13" t="inlineStr">
        <is>
          <t>Aggregato</t>
        </is>
      </c>
      <c r="C174" s="14" t="inlineStr">
        <is>
          <t>AVG_QTA_PEZZI</t>
        </is>
      </c>
      <c r="D174" s="13" t="inlineStr">
        <is>
          <t>double</t>
        </is>
      </c>
      <c r="E174" s="13" t="inlineStr"/>
      <c r="F174" s="14" t="inlineStr"/>
    </row>
    <row r="175" ht="20" customHeight="1">
      <c r="A175" s="12" t="inlineStr">
        <is>
          <t>A_GIACENZE_MONTHLY</t>
        </is>
      </c>
      <c r="B175" s="13" t="inlineStr">
        <is>
          <t>Aggregato</t>
        </is>
      </c>
      <c r="C175" s="14" t="inlineStr">
        <is>
          <t>MAX_QTA_PEZZI</t>
        </is>
      </c>
      <c r="D175" s="13" t="inlineStr">
        <is>
          <t>double</t>
        </is>
      </c>
      <c r="E175" s="13" t="inlineStr"/>
      <c r="F175" s="14" t="inlineStr"/>
    </row>
    <row r="176" ht="20" customHeight="1">
      <c r="A176" s="12" t="inlineStr">
        <is>
          <t>A_GIACENZE_MONTHLY</t>
        </is>
      </c>
      <c r="B176" s="13" t="inlineStr">
        <is>
          <t>Aggregato</t>
        </is>
      </c>
      <c r="C176" s="14" t="inlineStr">
        <is>
          <t>MIN_QTA_PEZZI</t>
        </is>
      </c>
      <c r="D176" s="13" t="inlineStr">
        <is>
          <t>double</t>
        </is>
      </c>
      <c r="E176" s="13" t="inlineStr"/>
      <c r="F176" s="14" t="inlineStr"/>
    </row>
    <row r="177" ht="20" customHeight="1">
      <c r="A177" s="12" t="inlineStr">
        <is>
          <t>A_GIACENZE_MONTHLY</t>
        </is>
      </c>
      <c r="B177" s="13" t="inlineStr">
        <is>
          <t>Aggregato</t>
        </is>
      </c>
      <c r="C177" s="14" t="inlineStr">
        <is>
          <t>QTA_PEZZI_FINE_MESE</t>
        </is>
      </c>
      <c r="D177" s="13" t="inlineStr">
        <is>
          <t>double</t>
        </is>
      </c>
      <c r="E177" s="13" t="inlineStr"/>
      <c r="F177" s="14" t="inlineStr"/>
    </row>
    <row r="178" ht="20" customHeight="1">
      <c r="A178" s="12" t="inlineStr">
        <is>
          <t>A_GIACENZE_MONTHLY</t>
        </is>
      </c>
      <c r="B178" s="13" t="inlineStr">
        <is>
          <t>Aggregato</t>
        </is>
      </c>
      <c r="C178" s="14" t="inlineStr">
        <is>
          <t>VARIAZIONE_QTA_PEZZI</t>
        </is>
      </c>
      <c r="D178" s="13" t="inlineStr">
        <is>
          <t>double</t>
        </is>
      </c>
      <c r="E178" s="13" t="inlineStr"/>
      <c r="F178" s="14" t="inlineStr">
        <is>
          <t>MAX-MIN</t>
        </is>
      </c>
    </row>
    <row r="179" ht="20" customHeight="1">
      <c r="A179" s="12" t="inlineStr">
        <is>
          <t>A_GIACENZE_MONTHLY</t>
        </is>
      </c>
      <c r="B179" s="13" t="inlineStr">
        <is>
          <t>Aggregato</t>
        </is>
      </c>
      <c r="C179" s="14" t="inlineStr">
        <is>
          <t>AVG_QTA_UF</t>
        </is>
      </c>
      <c r="D179" s="13" t="inlineStr">
        <is>
          <t>double</t>
        </is>
      </c>
      <c r="E179" s="13" t="inlineStr"/>
      <c r="F179" s="14" t="inlineStr"/>
    </row>
    <row r="180" ht="20" customHeight="1">
      <c r="A180" s="12" t="inlineStr">
        <is>
          <t>A_GIACENZE_MONTHLY</t>
        </is>
      </c>
      <c r="B180" s="13" t="inlineStr">
        <is>
          <t>Aggregato</t>
        </is>
      </c>
      <c r="C180" s="14" t="inlineStr">
        <is>
          <t>QTA_UF_FINE_MESE</t>
        </is>
      </c>
      <c r="D180" s="13" t="inlineStr">
        <is>
          <t>double</t>
        </is>
      </c>
      <c r="E180" s="13" t="inlineStr"/>
      <c r="F180" s="14" t="inlineStr"/>
    </row>
    <row r="181" ht="20" customHeight="1">
      <c r="A181" s="12" t="inlineStr">
        <is>
          <t>A_GIACENZE_MONTHLY</t>
        </is>
      </c>
      <c r="B181" s="13" t="inlineStr">
        <is>
          <t>Aggregato</t>
        </is>
      </c>
      <c r="C181" s="14" t="inlineStr">
        <is>
          <t>AVG_QTA_IN_SCADENZA</t>
        </is>
      </c>
      <c r="D181" s="13" t="inlineStr">
        <is>
          <t>double</t>
        </is>
      </c>
      <c r="E181" s="13" t="inlineStr"/>
      <c r="F181" s="14" t="inlineStr"/>
    </row>
    <row r="182" ht="20" customHeight="1">
      <c r="A182" s="12" t="inlineStr">
        <is>
          <t>A_GIACENZE_MONTHLY</t>
        </is>
      </c>
      <c r="B182" s="13" t="inlineStr">
        <is>
          <t>Aggregato</t>
        </is>
      </c>
      <c r="C182" s="14" t="inlineStr">
        <is>
          <t>MAX_QTA_IN_SCADENZA</t>
        </is>
      </c>
      <c r="D182" s="13" t="inlineStr">
        <is>
          <t>double</t>
        </is>
      </c>
      <c r="E182" s="13" t="inlineStr"/>
      <c r="F182" s="14" t="inlineStr"/>
    </row>
    <row r="183" ht="20" customHeight="1">
      <c r="A183" s="12" t="inlineStr">
        <is>
          <t>A_GIACENZE_MONTHLY</t>
        </is>
      </c>
      <c r="B183" s="13" t="inlineStr">
        <is>
          <t>Aggregato</t>
        </is>
      </c>
      <c r="C183" s="14" t="inlineStr">
        <is>
          <t>INDICE_ROTAZIONE</t>
        </is>
      </c>
      <c r="D183" s="13" t="inlineStr">
        <is>
          <t>double</t>
        </is>
      </c>
      <c r="E183" s="13" t="inlineStr"/>
      <c r="F183" s="14" t="inlineStr">
        <is>
          <t>QTA_FINE_MESE / AVG</t>
        </is>
      </c>
    </row>
    <row r="184" ht="20" customHeight="1">
      <c r="A184" s="12" t="inlineStr">
        <is>
          <t>A_GIACENZE_MONTHLY</t>
        </is>
      </c>
      <c r="B184" s="13" t="inlineStr">
        <is>
          <t>Aggregato</t>
        </is>
      </c>
      <c r="C184" s="14" t="inlineStr">
        <is>
          <t>DWH_UPDATED_AT</t>
        </is>
      </c>
      <c r="D184" s="13" t="inlineStr">
        <is>
          <t>timestamp</t>
        </is>
      </c>
      <c r="E184" s="13" t="inlineStr"/>
      <c r="F184" s="14" t="inlineStr"/>
    </row>
    <row r="185" ht="20" customHeight="1">
      <c r="A185" s="12" t="inlineStr">
        <is>
          <t>A_STOCK_MENSILE</t>
        </is>
      </c>
      <c r="B185" s="13" t="inlineStr">
        <is>
          <t>Aggregato</t>
        </is>
      </c>
      <c r="C185" s="17" t="inlineStr">
        <is>
          <t>ART_RADICE</t>
        </is>
      </c>
      <c r="D185" s="13" t="inlineStr">
        <is>
          <t>string</t>
        </is>
      </c>
      <c r="E185" s="18" t="inlineStr">
        <is>
          <t>PK</t>
        </is>
      </c>
      <c r="F185" s="14" t="inlineStr">
        <is>
          <t>Passthrough da A_GIACENZE_MONTHLY</t>
        </is>
      </c>
    </row>
    <row r="186" ht="20" customHeight="1">
      <c r="A186" s="12" t="inlineStr">
        <is>
          <t>A_STOCK_MENSILE</t>
        </is>
      </c>
      <c r="B186" s="13" t="inlineStr">
        <is>
          <t>Aggregato</t>
        </is>
      </c>
      <c r="C186" s="17" t="inlineStr">
        <is>
          <t>MAG_COD</t>
        </is>
      </c>
      <c r="D186" s="13" t="inlineStr">
        <is>
          <t>string</t>
        </is>
      </c>
      <c r="E186" s="18" t="inlineStr">
        <is>
          <t>PK</t>
        </is>
      </c>
      <c r="F186" s="14" t="inlineStr"/>
    </row>
    <row r="187" ht="20" customHeight="1">
      <c r="A187" s="12" t="inlineStr">
        <is>
          <t>A_STOCK_MENSILE</t>
        </is>
      </c>
      <c r="B187" s="13" t="inlineStr">
        <is>
          <t>Aggregato</t>
        </is>
      </c>
      <c r="C187" s="17" t="inlineStr">
        <is>
          <t>ANNO_MESE</t>
        </is>
      </c>
      <c r="D187" s="13" t="inlineStr">
        <is>
          <t>string</t>
        </is>
      </c>
      <c r="E187" s="18" t="inlineStr">
        <is>
          <t>PK/PART</t>
        </is>
      </c>
      <c r="F187" s="14" t="inlineStr"/>
    </row>
    <row r="188" ht="20" customHeight="1">
      <c r="A188" s="12" t="inlineStr">
        <is>
          <t>A_STOCK_MENSILE</t>
        </is>
      </c>
      <c r="B188" s="13" t="inlineStr">
        <is>
          <t>Aggregato</t>
        </is>
      </c>
      <c r="C188" s="14" t="inlineStr">
        <is>
          <t>AVG_QTA_PEZZI</t>
        </is>
      </c>
      <c r="D188" s="13" t="inlineStr">
        <is>
          <t>double</t>
        </is>
      </c>
      <c r="E188" s="13" t="inlineStr"/>
      <c r="F188" s="14" t="inlineStr"/>
    </row>
    <row r="189" ht="20" customHeight="1">
      <c r="A189" s="12" t="inlineStr">
        <is>
          <t>A_STOCK_MENSILE</t>
        </is>
      </c>
      <c r="B189" s="13" t="inlineStr">
        <is>
          <t>Aggregato</t>
        </is>
      </c>
      <c r="C189" s="14" t="inlineStr">
        <is>
          <t>MAX_QTA_PEZZI</t>
        </is>
      </c>
      <c r="D189" s="13" t="inlineStr">
        <is>
          <t>double</t>
        </is>
      </c>
      <c r="E189" s="13" t="inlineStr"/>
      <c r="F189" s="14" t="inlineStr"/>
    </row>
    <row r="190" ht="20" customHeight="1">
      <c r="A190" s="12" t="inlineStr">
        <is>
          <t>A_STOCK_MENSILE</t>
        </is>
      </c>
      <c r="B190" s="13" t="inlineStr">
        <is>
          <t>Aggregato</t>
        </is>
      </c>
      <c r="C190" s="14" t="inlineStr">
        <is>
          <t>MIN_QTA_PEZZI</t>
        </is>
      </c>
      <c r="D190" s="13" t="inlineStr">
        <is>
          <t>double</t>
        </is>
      </c>
      <c r="E190" s="13" t="inlineStr"/>
      <c r="F190" s="14" t="inlineStr"/>
    </row>
    <row r="191" ht="20" customHeight="1">
      <c r="A191" s="12" t="inlineStr">
        <is>
          <t>A_STOCK_MENSILE</t>
        </is>
      </c>
      <c r="B191" s="13" t="inlineStr">
        <is>
          <t>Aggregato</t>
        </is>
      </c>
      <c r="C191" s="14" t="inlineStr">
        <is>
          <t>QTA_PEZZI_FINE_MESE</t>
        </is>
      </c>
      <c r="D191" s="13" t="inlineStr">
        <is>
          <t>double</t>
        </is>
      </c>
      <c r="E191" s="13" t="inlineStr"/>
      <c r="F191" s="14" t="inlineStr"/>
    </row>
    <row r="192" ht="20" customHeight="1">
      <c r="A192" s="12" t="inlineStr">
        <is>
          <t>A_STOCK_MENSILE</t>
        </is>
      </c>
      <c r="B192" s="13" t="inlineStr">
        <is>
          <t>Aggregato</t>
        </is>
      </c>
      <c r="C192" s="14" t="inlineStr">
        <is>
          <t>VARIAZIONE_QTA_PEZZI</t>
        </is>
      </c>
      <c r="D192" s="13" t="inlineStr">
        <is>
          <t>double</t>
        </is>
      </c>
      <c r="E192" s="13" t="inlineStr"/>
      <c r="F192" s="14" t="inlineStr"/>
    </row>
    <row r="193" ht="20" customHeight="1">
      <c r="A193" s="12" t="inlineStr">
        <is>
          <t>A_STOCK_MENSILE</t>
        </is>
      </c>
      <c r="B193" s="13" t="inlineStr">
        <is>
          <t>Aggregato</t>
        </is>
      </c>
      <c r="C193" s="14" t="inlineStr">
        <is>
          <t>AVG_QTA_UF</t>
        </is>
      </c>
      <c r="D193" s="13" t="inlineStr">
        <is>
          <t>double</t>
        </is>
      </c>
      <c r="E193" s="13" t="inlineStr"/>
      <c r="F193" s="14" t="inlineStr"/>
    </row>
    <row r="194" ht="20" customHeight="1">
      <c r="A194" s="12" t="inlineStr">
        <is>
          <t>A_STOCK_MENSILE</t>
        </is>
      </c>
      <c r="B194" s="13" t="inlineStr">
        <is>
          <t>Aggregato</t>
        </is>
      </c>
      <c r="C194" s="14" t="inlineStr">
        <is>
          <t>QTA_UF_FINE_MESE</t>
        </is>
      </c>
      <c r="D194" s="13" t="inlineStr">
        <is>
          <t>double</t>
        </is>
      </c>
      <c r="E194" s="13" t="inlineStr"/>
      <c r="F194" s="14" t="inlineStr"/>
    </row>
    <row r="195" ht="20" customHeight="1">
      <c r="A195" s="12" t="inlineStr">
        <is>
          <t>A_STOCK_MENSILE</t>
        </is>
      </c>
      <c r="B195" s="13" t="inlineStr">
        <is>
          <t>Aggregato</t>
        </is>
      </c>
      <c r="C195" s="14" t="inlineStr">
        <is>
          <t>AVG_QTA_IN_SCADENZA</t>
        </is>
      </c>
      <c r="D195" s="13" t="inlineStr">
        <is>
          <t>double</t>
        </is>
      </c>
      <c r="E195" s="13" t="inlineStr"/>
      <c r="F195" s="14" t="inlineStr"/>
    </row>
    <row r="196" ht="20" customHeight="1">
      <c r="A196" s="12" t="inlineStr">
        <is>
          <t>A_STOCK_MENSILE</t>
        </is>
      </c>
      <c r="B196" s="13" t="inlineStr">
        <is>
          <t>Aggregato</t>
        </is>
      </c>
      <c r="C196" s="14" t="inlineStr">
        <is>
          <t>MAX_QTA_IN_SCADENZA</t>
        </is>
      </c>
      <c r="D196" s="13" t="inlineStr">
        <is>
          <t>double</t>
        </is>
      </c>
      <c r="E196" s="13" t="inlineStr"/>
      <c r="F196" s="14" t="inlineStr"/>
    </row>
    <row r="197" ht="20" customHeight="1">
      <c r="A197" s="12" t="inlineStr">
        <is>
          <t>A_STOCK_MENSILE</t>
        </is>
      </c>
      <c r="B197" s="13" t="inlineStr">
        <is>
          <t>Aggregato</t>
        </is>
      </c>
      <c r="C197" s="14" t="inlineStr">
        <is>
          <t>INDICE_ROTAZIONE</t>
        </is>
      </c>
      <c r="D197" s="13" t="inlineStr">
        <is>
          <t>double</t>
        </is>
      </c>
      <c r="E197" s="13" t="inlineStr"/>
      <c r="F197" s="14" t="inlineStr"/>
    </row>
    <row r="198" ht="20" customHeight="1">
      <c r="A198" s="12" t="inlineStr">
        <is>
          <t>A_STOCK_MENSILE</t>
        </is>
      </c>
      <c r="B198" s="13" t="inlineStr">
        <is>
          <t>Aggregato</t>
        </is>
      </c>
      <c r="C198" s="14" t="inlineStr">
        <is>
          <t>DWH_UPDATED_AT</t>
        </is>
      </c>
      <c r="D198" s="13" t="inlineStr">
        <is>
          <t>timestamp</t>
        </is>
      </c>
      <c r="E198" s="13" t="inlineStr"/>
      <c r="F198" s="14" t="inlineStr"/>
    </row>
    <row r="199" ht="20" customHeight="1">
      <c r="A199" s="12" t="inlineStr">
        <is>
          <t>A_OUTBOUND_MENSILE</t>
        </is>
      </c>
      <c r="B199" s="13" t="inlineStr">
        <is>
          <t>Aggregato</t>
        </is>
      </c>
      <c r="C199" s="17" t="inlineStr">
        <is>
          <t>SITO_COD</t>
        </is>
      </c>
      <c r="D199" s="13" t="inlineStr">
        <is>
          <t>string</t>
        </is>
      </c>
      <c r="E199" s="18" t="inlineStr">
        <is>
          <t>PK</t>
        </is>
      </c>
      <c r="F199" s="14" t="inlineStr">
        <is>
          <t>Full outer F_ORDINI/F_TRASPORTO</t>
        </is>
      </c>
    </row>
    <row r="200" ht="20" customHeight="1">
      <c r="A200" s="12" t="inlineStr">
        <is>
          <t>A_OUTBOUND_MENSILE</t>
        </is>
      </c>
      <c r="B200" s="13" t="inlineStr">
        <is>
          <t>Aggregato</t>
        </is>
      </c>
      <c r="C200" s="17" t="inlineStr">
        <is>
          <t>CORRIERE_COD</t>
        </is>
      </c>
      <c r="D200" s="13" t="inlineStr">
        <is>
          <t>string</t>
        </is>
      </c>
      <c r="E200" s="18" t="inlineStr">
        <is>
          <t>PK</t>
        </is>
      </c>
      <c r="F200" s="14" t="inlineStr"/>
    </row>
    <row r="201" ht="20" customHeight="1">
      <c r="A201" s="12" t="inlineStr">
        <is>
          <t>A_OUTBOUND_MENSILE</t>
        </is>
      </c>
      <c r="B201" s="13" t="inlineStr">
        <is>
          <t>Aggregato</t>
        </is>
      </c>
      <c r="C201" s="17" t="inlineStr">
        <is>
          <t>ANNO_MESE</t>
        </is>
      </c>
      <c r="D201" s="13" t="inlineStr">
        <is>
          <t>string</t>
        </is>
      </c>
      <c r="E201" s="18" t="inlineStr">
        <is>
          <t>PK/PART</t>
        </is>
      </c>
      <c r="F201" s="14" t="inlineStr"/>
    </row>
    <row r="202" ht="20" customHeight="1">
      <c r="A202" s="12" t="inlineStr">
        <is>
          <t>A_OUTBOUND_MENSILE</t>
        </is>
      </c>
      <c r="B202" s="13" t="inlineStr">
        <is>
          <t>Aggregato</t>
        </is>
      </c>
      <c r="C202" s="14" t="inlineStr">
        <is>
          <t>NUM_ORDINI</t>
        </is>
      </c>
      <c r="D202" s="13" t="inlineStr">
        <is>
          <t>long</t>
        </is>
      </c>
      <c r="E202" s="13" t="inlineStr"/>
      <c r="F202" s="14" t="inlineStr"/>
    </row>
    <row r="203" ht="20" customHeight="1">
      <c r="A203" s="12" t="inlineStr">
        <is>
          <t>A_OUTBOUND_MENSILE</t>
        </is>
      </c>
      <c r="B203" s="13" t="inlineStr">
        <is>
          <t>Aggregato</t>
        </is>
      </c>
      <c r="C203" s="14" t="inlineStr">
        <is>
          <t>NUM_CARICHI</t>
        </is>
      </c>
      <c r="D203" s="13" t="inlineStr">
        <is>
          <t>long</t>
        </is>
      </c>
      <c r="E203" s="13" t="inlineStr"/>
      <c r="F203" s="14" t="inlineStr"/>
    </row>
    <row r="204" ht="20" customHeight="1">
      <c r="A204" s="12" t="inlineStr">
        <is>
          <t>A_OUTBOUND_MENSILE</t>
        </is>
      </c>
      <c r="B204" s="13" t="inlineStr">
        <is>
          <t>Aggregato</t>
        </is>
      </c>
      <c r="C204" s="14" t="inlineStr">
        <is>
          <t>NUM_FORNITORI</t>
        </is>
      </c>
      <c r="D204" s="13" t="inlineStr">
        <is>
          <t>long</t>
        </is>
      </c>
      <c r="E204" s="13" t="inlineStr"/>
      <c r="F204" s="14" t="inlineStr"/>
    </row>
    <row r="205" ht="20" customHeight="1">
      <c r="A205" s="12" t="inlineStr">
        <is>
          <t>A_OUTBOUND_MENSILE</t>
        </is>
      </c>
      <c r="B205" s="13" t="inlineStr">
        <is>
          <t>Aggregato</t>
        </is>
      </c>
      <c r="C205" s="14" t="inlineStr">
        <is>
          <t>NUM_TRASFERITI</t>
        </is>
      </c>
      <c r="D205" s="13" t="inlineStr">
        <is>
          <t>long</t>
        </is>
      </c>
      <c r="E205" s="13" t="inlineStr"/>
      <c r="F205" s="14" t="inlineStr"/>
    </row>
    <row r="206" ht="20" customHeight="1">
      <c r="A206" s="12" t="inlineStr">
        <is>
          <t>A_OUTBOUND_MENSILE</t>
        </is>
      </c>
      <c r="B206" s="13" t="inlineStr">
        <is>
          <t>Aggregato</t>
        </is>
      </c>
      <c r="C206" s="14" t="inlineStr">
        <is>
          <t>QTA_TRASPORTATA_TOT</t>
        </is>
      </c>
      <c r="D206" s="13" t="inlineStr">
        <is>
          <t>double</t>
        </is>
      </c>
      <c r="E206" s="13" t="inlineStr"/>
      <c r="F206" s="14" t="inlineStr"/>
    </row>
    <row r="207" ht="20" customHeight="1">
      <c r="A207" s="12" t="inlineStr">
        <is>
          <t>A_OUTBOUND_MENSILE</t>
        </is>
      </c>
      <c r="B207" s="13" t="inlineStr">
        <is>
          <t>Aggregato</t>
        </is>
      </c>
      <c r="C207" s="14" t="inlineStr">
        <is>
          <t>NUM_TRASPORTI</t>
        </is>
      </c>
      <c r="D207" s="13" t="inlineStr">
        <is>
          <t>long</t>
        </is>
      </c>
      <c r="E207" s="13" t="inlineStr"/>
      <c r="F207" s="14" t="inlineStr"/>
    </row>
    <row r="208" ht="20" customHeight="1">
      <c r="A208" s="12" t="inlineStr">
        <is>
          <t>A_OUTBOUND_MENSILE</t>
        </is>
      </c>
      <c r="B208" s="13" t="inlineStr">
        <is>
          <t>Aggregato</t>
        </is>
      </c>
      <c r="C208" s="14" t="inlineStr">
        <is>
          <t>NUM_BOLLE</t>
        </is>
      </c>
      <c r="D208" s="13" t="inlineStr">
        <is>
          <t>long</t>
        </is>
      </c>
      <c r="E208" s="13" t="inlineStr"/>
      <c r="F208" s="14" t="inlineStr"/>
    </row>
    <row r="209" ht="20" customHeight="1">
      <c r="A209" s="12" t="inlineStr">
        <is>
          <t>A_OUTBOUND_MENSILE</t>
        </is>
      </c>
      <c r="B209" s="13" t="inlineStr">
        <is>
          <t>Aggregato</t>
        </is>
      </c>
      <c r="C209" s="14" t="inlineStr">
        <is>
          <t>AVG_LEAD_TIME_GG</t>
        </is>
      </c>
      <c r="D209" s="13" t="inlineStr">
        <is>
          <t>double</t>
        </is>
      </c>
      <c r="E209" s="13" t="inlineStr"/>
      <c r="F209" s="14" t="inlineStr"/>
    </row>
    <row r="210" ht="20" customHeight="1">
      <c r="A210" s="12" t="inlineStr">
        <is>
          <t>A_OUTBOUND_MENSILE</t>
        </is>
      </c>
      <c r="B210" s="13" t="inlineStr">
        <is>
          <t>Aggregato</t>
        </is>
      </c>
      <c r="C210" s="14" t="inlineStr">
        <is>
          <t>COSTO_STIMATO_EUR_TOT</t>
        </is>
      </c>
      <c r="D210" s="13" t="inlineStr">
        <is>
          <t>double</t>
        </is>
      </c>
      <c r="E210" s="13" t="inlineStr"/>
      <c r="F210" s="14" t="inlineStr"/>
    </row>
    <row r="211" ht="20" customHeight="1">
      <c r="A211" s="12" t="inlineStr">
        <is>
          <t>A_OUTBOUND_MENSILE</t>
        </is>
      </c>
      <c r="B211" s="13" t="inlineStr">
        <is>
          <t>Aggregato</t>
        </is>
      </c>
      <c r="C211" s="14" t="inlineStr">
        <is>
          <t>DWH_UPDATED_AT</t>
        </is>
      </c>
      <c r="D211" s="13" t="inlineStr">
        <is>
          <t>timestamp</t>
        </is>
      </c>
      <c r="E211" s="13" t="inlineStr"/>
      <c r="F211" s="14" t="inlineStr"/>
    </row>
    <row r="212" ht="20" customHeight="1">
      <c r="A212" s="12" t="inlineStr">
        <is>
          <t>A_PRODUTTIVITA_MENSILE</t>
        </is>
      </c>
      <c r="B212" s="13" t="inlineStr">
        <is>
          <t>Aggregato</t>
        </is>
      </c>
      <c r="C212" s="17" t="inlineStr">
        <is>
          <t>SITO_COD</t>
        </is>
      </c>
      <c r="D212" s="13" t="inlineStr">
        <is>
          <t>string</t>
        </is>
      </c>
      <c r="E212" s="18" t="inlineStr">
        <is>
          <t>PK</t>
        </is>
      </c>
      <c r="F212" s="14" t="inlineStr"/>
    </row>
    <row r="213" ht="20" customHeight="1">
      <c r="A213" s="12" t="inlineStr">
        <is>
          <t>A_PRODUTTIVITA_MENSILE</t>
        </is>
      </c>
      <c r="B213" s="13" t="inlineStr">
        <is>
          <t>Aggregato</t>
        </is>
      </c>
      <c r="C213" s="17" t="inlineStr">
        <is>
          <t>ANNO_MESE</t>
        </is>
      </c>
      <c r="D213" s="13" t="inlineStr">
        <is>
          <t>string</t>
        </is>
      </c>
      <c r="E213" s="18" t="inlineStr">
        <is>
          <t>PK/PART</t>
        </is>
      </c>
      <c r="F213" s="14" t="inlineStr"/>
    </row>
    <row r="214" ht="20" customHeight="1">
      <c r="A214" s="12" t="inlineStr">
        <is>
          <t>A_PRODUTTIVITA_MENSILE</t>
        </is>
      </c>
      <c r="B214" s="13" t="inlineStr">
        <is>
          <t>Aggregato</t>
        </is>
      </c>
      <c r="C214" s="14" t="inlineStr">
        <is>
          <t>TOT_CARTONI_PREP</t>
        </is>
      </c>
      <c r="D214" s="13" t="inlineStr">
        <is>
          <t>double</t>
        </is>
      </c>
      <c r="E214" s="13" t="inlineStr"/>
      <c r="F214" s="14" t="inlineStr"/>
    </row>
    <row r="215" ht="20" customHeight="1">
      <c r="A215" s="12" t="inlineStr">
        <is>
          <t>A_PRODUTTIVITA_MENSILE</t>
        </is>
      </c>
      <c r="B215" s="13" t="inlineStr">
        <is>
          <t>Aggregato</t>
        </is>
      </c>
      <c r="C215" s="14" t="inlineStr">
        <is>
          <t>TOT_CARTONI</t>
        </is>
      </c>
      <c r="D215" s="13" t="inlineStr">
        <is>
          <t>double</t>
        </is>
      </c>
      <c r="E215" s="13" t="inlineStr"/>
      <c r="F215" s="14" t="inlineStr"/>
    </row>
    <row r="216" ht="20" customHeight="1">
      <c r="A216" s="12" t="inlineStr">
        <is>
          <t>A_PRODUTTIVITA_MENSILE</t>
        </is>
      </c>
      <c r="B216" s="13" t="inlineStr">
        <is>
          <t>Aggregato</t>
        </is>
      </c>
      <c r="C216" s="14" t="inlineStr">
        <is>
          <t>TOT_CARTONI_INEVASI</t>
        </is>
      </c>
      <c r="D216" s="13" t="inlineStr">
        <is>
          <t>double</t>
        </is>
      </c>
      <c r="E216" s="13" t="inlineStr"/>
      <c r="F216" s="14" t="inlineStr"/>
    </row>
    <row r="217" ht="20" customHeight="1">
      <c r="A217" s="12" t="inlineStr">
        <is>
          <t>A_PRODUTTIVITA_MENSILE</t>
        </is>
      </c>
      <c r="B217" s="13" t="inlineStr">
        <is>
          <t>Aggregato</t>
        </is>
      </c>
      <c r="C217" s="14" t="inlineStr">
        <is>
          <t>TOT_QUINTALI_PREP</t>
        </is>
      </c>
      <c r="D217" s="13" t="inlineStr">
        <is>
          <t>double</t>
        </is>
      </c>
      <c r="E217" s="13" t="inlineStr"/>
      <c r="F217" s="14" t="inlineStr"/>
    </row>
    <row r="218" ht="20" customHeight="1">
      <c r="A218" s="12" t="inlineStr">
        <is>
          <t>A_PRODUTTIVITA_MENSILE</t>
        </is>
      </c>
      <c r="B218" s="13" t="inlineStr">
        <is>
          <t>Aggregato</t>
        </is>
      </c>
      <c r="C218" s="14" t="inlineStr">
        <is>
          <t>TOT_QUINTALI</t>
        </is>
      </c>
      <c r="D218" s="13" t="inlineStr">
        <is>
          <t>double</t>
        </is>
      </c>
      <c r="E218" s="13" t="inlineStr"/>
      <c r="F218" s="14" t="inlineStr"/>
    </row>
    <row r="219" ht="20" customHeight="1">
      <c r="A219" s="12" t="inlineStr">
        <is>
          <t>A_PRODUTTIVITA_MENSILE</t>
        </is>
      </c>
      <c r="B219" s="13" t="inlineStr">
        <is>
          <t>Aggregato</t>
        </is>
      </c>
      <c r="C219" s="14" t="inlineStr">
        <is>
          <t>ORE_LAVORATE_TOT</t>
        </is>
      </c>
      <c r="D219" s="13" t="inlineStr">
        <is>
          <t>double</t>
        </is>
      </c>
      <c r="E219" s="13" t="inlineStr"/>
      <c r="F219" s="14" t="inlineStr"/>
    </row>
    <row r="220" ht="20" customHeight="1">
      <c r="A220" s="12" t="inlineStr">
        <is>
          <t>A_PRODUTTIVITA_MENSILE</t>
        </is>
      </c>
      <c r="B220" s="13" t="inlineStr">
        <is>
          <t>Aggregato</t>
        </is>
      </c>
      <c r="C220" s="14" t="inlineStr">
        <is>
          <t>ORE_PRODUTTIVE_TOT</t>
        </is>
      </c>
      <c r="D220" s="13" t="inlineStr">
        <is>
          <t>double</t>
        </is>
      </c>
      <c r="E220" s="13" t="inlineStr"/>
      <c r="F220" s="14" t="inlineStr"/>
    </row>
    <row r="221" ht="20" customHeight="1">
      <c r="A221" s="12" t="inlineStr">
        <is>
          <t>A_PRODUTTIVITA_MENSILE</t>
        </is>
      </c>
      <c r="B221" s="13" t="inlineStr">
        <is>
          <t>Aggregato</t>
        </is>
      </c>
      <c r="C221" s="14" t="inlineStr">
        <is>
          <t>OPERATORI_DISTINTI</t>
        </is>
      </c>
      <c r="D221" s="13" t="inlineStr">
        <is>
          <t>long</t>
        </is>
      </c>
      <c r="E221" s="13" t="inlineStr"/>
      <c r="F221" s="14" t="inlineStr"/>
    </row>
    <row r="222" ht="20" customHeight="1">
      <c r="A222" s="12" t="inlineStr">
        <is>
          <t>A_PRODUTTIVITA_MENSILE</t>
        </is>
      </c>
      <c r="B222" s="13" t="inlineStr">
        <is>
          <t>Aggregato</t>
        </is>
      </c>
      <c r="C222" s="14" t="inlineStr">
        <is>
          <t>PRODUTTIVITA_CARTONI_ORA_MEDIA</t>
        </is>
      </c>
      <c r="D222" s="13" t="inlineStr">
        <is>
          <t>double</t>
        </is>
      </c>
      <c r="E222" s="13" t="inlineStr"/>
      <c r="F222" s="14" t="inlineStr"/>
    </row>
    <row r="223" ht="20" customHeight="1">
      <c r="A223" s="12" t="inlineStr">
        <is>
          <t>A_PRODUTTIVITA_MENSILE</t>
        </is>
      </c>
      <c r="B223" s="13" t="inlineStr">
        <is>
          <t>Aggregato</t>
        </is>
      </c>
      <c r="C223" s="14" t="inlineStr">
        <is>
          <t>PRODUTTIVITA_CARTONI_ORA_MAX</t>
        </is>
      </c>
      <c r="D223" s="13" t="inlineStr">
        <is>
          <t>double</t>
        </is>
      </c>
      <c r="E223" s="13" t="inlineStr"/>
      <c r="F223" s="14" t="inlineStr"/>
    </row>
    <row r="224" ht="20" customHeight="1">
      <c r="A224" s="12" t="inlineStr">
        <is>
          <t>A_PRODUTTIVITA_MENSILE</t>
        </is>
      </c>
      <c r="B224" s="13" t="inlineStr">
        <is>
          <t>Aggregato</t>
        </is>
      </c>
      <c r="C224" s="14" t="inlineStr">
        <is>
          <t>PRODUTTIVITA_CARTONI_ORA_MEDIANA</t>
        </is>
      </c>
      <c r="D224" s="13" t="inlineStr">
        <is>
          <t>double</t>
        </is>
      </c>
      <c r="E224" s="13" t="inlineStr"/>
      <c r="F224" s="14" t="inlineStr"/>
    </row>
    <row r="225" ht="20" customHeight="1">
      <c r="A225" s="12" t="inlineStr">
        <is>
          <t>A_PRODUTTIVITA_MENSILE</t>
        </is>
      </c>
      <c r="B225" s="13" t="inlineStr">
        <is>
          <t>Aggregato</t>
        </is>
      </c>
      <c r="C225" s="14" t="inlineStr">
        <is>
          <t>PRODUTTIVITA_CARTONI_ORA_AGGR</t>
        </is>
      </c>
      <c r="D225" s="13" t="inlineStr">
        <is>
          <t>double</t>
        </is>
      </c>
      <c r="E225" s="13" t="inlineStr"/>
      <c r="F225" s="14" t="inlineStr"/>
    </row>
    <row r="226" ht="20" customHeight="1">
      <c r="A226" s="12" t="inlineStr">
        <is>
          <t>A_PRODUTTIVITA_MENSILE</t>
        </is>
      </c>
      <c r="B226" s="13" t="inlineStr">
        <is>
          <t>Aggregato</t>
        </is>
      </c>
      <c r="C226" s="14" t="inlineStr">
        <is>
          <t>PERC_ORE_ATTREZZAGGIO</t>
        </is>
      </c>
      <c r="D226" s="13" t="inlineStr">
        <is>
          <t>double</t>
        </is>
      </c>
      <c r="E226" s="13" t="inlineStr"/>
      <c r="F226" s="14" t="inlineStr"/>
    </row>
    <row r="227" ht="20" customHeight="1">
      <c r="A227" s="12" t="inlineStr">
        <is>
          <t>A_PRODUTTIVITA_MENSILE</t>
        </is>
      </c>
      <c r="B227" s="13" t="inlineStr">
        <is>
          <t>Aggregato</t>
        </is>
      </c>
      <c r="C227" s="14" t="inlineStr">
        <is>
          <t>NUM_RIEPILOGHI</t>
        </is>
      </c>
      <c r="D227" s="13" t="inlineStr">
        <is>
          <t>long</t>
        </is>
      </c>
      <c r="E227" s="13" t="inlineStr"/>
      <c r="F227" s="14" t="inlineStr"/>
    </row>
    <row r="228" ht="20" customHeight="1">
      <c r="A228" s="12" t="inlineStr">
        <is>
          <t>A_PRODUTTIVITA_MENSILE</t>
        </is>
      </c>
      <c r="B228" s="13" t="inlineStr">
        <is>
          <t>Aggregato</t>
        </is>
      </c>
      <c r="C228" s="14" t="inlineStr">
        <is>
          <t>DWH_UPDATED_AT</t>
        </is>
      </c>
      <c r="D228" s="13" t="inlineStr">
        <is>
          <t>timestamp</t>
        </is>
      </c>
      <c r="E228" s="13" t="inlineStr"/>
      <c r="F228" s="14" t="inlineStr"/>
    </row>
    <row r="229" ht="20" customHeight="1">
      <c r="A229" s="12" t="inlineStr">
        <is>
          <t>A_TURNO_PREP_SITO</t>
        </is>
      </c>
      <c r="B229" s="13" t="inlineStr">
        <is>
          <t>Aggregato</t>
        </is>
      </c>
      <c r="C229" s="17" t="inlineStr">
        <is>
          <t>SITO_COD</t>
        </is>
      </c>
      <c r="D229" s="13" t="inlineStr">
        <is>
          <t>string</t>
        </is>
      </c>
      <c r="E229" s="18" t="inlineStr">
        <is>
          <t>PK</t>
        </is>
      </c>
      <c r="F229" s="14" t="inlineStr"/>
    </row>
    <row r="230" ht="20" customHeight="1">
      <c r="A230" s="12" t="inlineStr">
        <is>
          <t>A_TURNO_PREP_SITO</t>
        </is>
      </c>
      <c r="B230" s="13" t="inlineStr">
        <is>
          <t>Aggregato</t>
        </is>
      </c>
      <c r="C230" s="17" t="inlineStr">
        <is>
          <t>DATA_PREPARAZ</t>
        </is>
      </c>
      <c r="D230" s="13" t="inlineStr">
        <is>
          <t>date</t>
        </is>
      </c>
      <c r="E230" s="18" t="inlineStr">
        <is>
          <t>PK/PART</t>
        </is>
      </c>
      <c r="F230" s="14" t="inlineStr"/>
    </row>
    <row r="231" ht="20" customHeight="1">
      <c r="A231" s="12" t="inlineStr">
        <is>
          <t>A_TURNO_PREP_SITO</t>
        </is>
      </c>
      <c r="B231" s="13" t="inlineStr">
        <is>
          <t>Aggregato</t>
        </is>
      </c>
      <c r="C231" s="14" t="inlineStr">
        <is>
          <t>TOT_CARTONI_PREP</t>
        </is>
      </c>
      <c r="D231" s="13" t="inlineStr">
        <is>
          <t>double</t>
        </is>
      </c>
      <c r="E231" s="13" t="inlineStr"/>
      <c r="F231" s="14" t="inlineStr"/>
    </row>
    <row r="232" ht="20" customHeight="1">
      <c r="A232" s="12" t="inlineStr">
        <is>
          <t>A_TURNO_PREP_SITO</t>
        </is>
      </c>
      <c r="B232" s="13" t="inlineStr">
        <is>
          <t>Aggregato</t>
        </is>
      </c>
      <c r="C232" s="14" t="inlineStr">
        <is>
          <t>TOT_QUINTALI_PREP</t>
        </is>
      </c>
      <c r="D232" s="13" t="inlineStr">
        <is>
          <t>double</t>
        </is>
      </c>
      <c r="E232" s="13" t="inlineStr"/>
      <c r="F232" s="14" t="inlineStr"/>
    </row>
    <row r="233" ht="20" customHeight="1">
      <c r="A233" s="12" t="inlineStr">
        <is>
          <t>A_TURNO_PREP_SITO</t>
        </is>
      </c>
      <c r="B233" s="13" t="inlineStr">
        <is>
          <t>Aggregato</t>
        </is>
      </c>
      <c r="C233" s="14" t="inlineStr">
        <is>
          <t>ORE_LAVORATE_TOT</t>
        </is>
      </c>
      <c r="D233" s="13" t="inlineStr">
        <is>
          <t>double</t>
        </is>
      </c>
      <c r="E233" s="13" t="inlineStr"/>
      <c r="F233" s="14" t="inlineStr"/>
    </row>
    <row r="234" ht="20" customHeight="1">
      <c r="A234" s="12" t="inlineStr">
        <is>
          <t>A_TURNO_PREP_SITO</t>
        </is>
      </c>
      <c r="B234" s="13" t="inlineStr">
        <is>
          <t>Aggregato</t>
        </is>
      </c>
      <c r="C234" s="14" t="inlineStr">
        <is>
          <t>ORE_PRODUTTIVE_TOT</t>
        </is>
      </c>
      <c r="D234" s="13" t="inlineStr">
        <is>
          <t>double</t>
        </is>
      </c>
      <c r="E234" s="13" t="inlineStr"/>
      <c r="F234" s="14" t="inlineStr"/>
    </row>
    <row r="235" ht="20" customHeight="1">
      <c r="A235" s="12" t="inlineStr">
        <is>
          <t>A_TURNO_PREP_SITO</t>
        </is>
      </c>
      <c r="B235" s="13" t="inlineStr">
        <is>
          <t>Aggregato</t>
        </is>
      </c>
      <c r="C235" s="14" t="inlineStr">
        <is>
          <t>OPERATORI_ATTIVI</t>
        </is>
      </c>
      <c r="D235" s="13" t="inlineStr">
        <is>
          <t>long</t>
        </is>
      </c>
      <c r="E235" s="13" t="inlineStr"/>
      <c r="F235" s="14" t="inlineStr"/>
    </row>
    <row r="236" ht="20" customHeight="1">
      <c r="A236" s="12" t="inlineStr">
        <is>
          <t>A_TURNO_PREP_SITO</t>
        </is>
      </c>
      <c r="B236" s="13" t="inlineStr">
        <is>
          <t>Aggregato</t>
        </is>
      </c>
      <c r="C236" s="14" t="inlineStr">
        <is>
          <t>NUM_RIEPILOGHI</t>
        </is>
      </c>
      <c r="D236" s="13" t="inlineStr">
        <is>
          <t>long</t>
        </is>
      </c>
      <c r="E236" s="13" t="inlineStr"/>
      <c r="F236" s="14" t="inlineStr"/>
    </row>
    <row r="237" ht="20" customHeight="1">
      <c r="A237" s="12" t="inlineStr">
        <is>
          <t>A_TURNO_PREP_SITO</t>
        </is>
      </c>
      <c r="B237" s="13" t="inlineStr">
        <is>
          <t>Aggregato</t>
        </is>
      </c>
      <c r="C237" s="14" t="inlineStr">
        <is>
          <t>PRODUTTIVITA_CARTONI_ORA_MEDIA</t>
        </is>
      </c>
      <c r="D237" s="13" t="inlineStr">
        <is>
          <t>double</t>
        </is>
      </c>
      <c r="E237" s="13" t="inlineStr"/>
      <c r="F237" s="14" t="inlineStr"/>
    </row>
    <row r="238" ht="20" customHeight="1">
      <c r="A238" s="12" t="inlineStr">
        <is>
          <t>A_TURNO_PREP_SITO</t>
        </is>
      </c>
      <c r="B238" s="13" t="inlineStr">
        <is>
          <t>Aggregato</t>
        </is>
      </c>
      <c r="C238" s="14" t="inlineStr">
        <is>
          <t>PERC_ORE_ATTREZZAGGIO</t>
        </is>
      </c>
      <c r="D238" s="13" t="inlineStr">
        <is>
          <t>double</t>
        </is>
      </c>
      <c r="E238" s="13" t="inlineStr"/>
      <c r="F238" s="14" t="inlineStr"/>
    </row>
    <row r="239" ht="20" customHeight="1">
      <c r="A239" s="12" t="inlineStr">
        <is>
          <t>A_TURNO_PREP_SITO</t>
        </is>
      </c>
      <c r="B239" s="13" t="inlineStr">
        <is>
          <t>Aggregato</t>
        </is>
      </c>
      <c r="C239" s="14" t="inlineStr">
        <is>
          <t>DWH_UPDATED_AT</t>
        </is>
      </c>
      <c r="D239" s="13" t="inlineStr">
        <is>
          <t>timestamp</t>
        </is>
      </c>
      <c r="E239" s="13" t="inlineStr"/>
      <c r="F239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65" customWidth="1" min="3" max="3"/>
  </cols>
  <sheetData>
    <row r="1" ht="36" customHeight="1">
      <c r="A1" s="19" t="inlineStr">
        <is>
          <t>CONTESTO</t>
        </is>
      </c>
      <c r="B1" s="19" t="inlineStr"/>
      <c r="C1" s="19" t="inlineStr"/>
    </row>
    <row r="2" ht="36" customHeight="1">
      <c r="A2" s="20" t="inlineStr">
        <is>
          <t>Versione modello</t>
        </is>
      </c>
      <c r="B2" s="21" t="inlineStr">
        <is>
          <t>v3.0  2026-06-08</t>
        </is>
      </c>
      <c r="C2" s="21" t="inlineStr">
        <is>
          <t>Post revisione end-to-end Bronze/Silver/Gold/DataMart + Workflow</t>
        </is>
      </c>
    </row>
    <row r="3" ht="36" customHeight="1">
      <c r="A3" s="20" t="inlineStr">
        <is>
          <t>Naming</t>
        </is>
      </c>
      <c r="B3" s="21" t="inlineStr">
        <is>
          <t>LU_* / F_* / A_*</t>
        </is>
      </c>
      <c r="C3" s="21" t="inlineStr">
        <is>
          <t>Regola applicata (OP-06): lookup LU_*, fact F_*, aggregati A_* nel datamart.</t>
        </is>
      </c>
    </row>
    <row r="4" ht="36" customHeight="1">
      <c r="A4" s="22" t="inlineStr"/>
      <c r="B4" s="22" t="inlineStr"/>
      <c r="C4" s="22" t="inlineStr"/>
    </row>
    <row r="5" ht="36" customHeight="1">
      <c r="A5" s="19" t="inlineStr">
        <is>
          <t>STRUTTURA</t>
        </is>
      </c>
      <c r="B5" s="19" t="inlineStr">
        <is>
          <t>CATALOG.SCHEMA</t>
        </is>
      </c>
      <c r="C5" s="19" t="inlineStr">
        <is>
          <t>CONTENUTO</t>
        </is>
      </c>
    </row>
    <row r="6" ht="36" customHeight="1">
      <c r="A6" s="20" t="inlineStr">
        <is>
          <t>Lookup master Retail</t>
        </is>
      </c>
      <c r="B6" s="21" t="inlineStr">
        <is>
          <t>&lt;retail_master_schema&gt;</t>
        </is>
      </c>
      <c r="C6" s="21" t="inlineStr">
        <is>
          <t>LU_GIORNO, LU_MESE, LU_ART_RADICE, LU_FORNITORE, LU_PDV — lettura sola (OP-02)</t>
        </is>
      </c>
    </row>
    <row r="7" ht="36" customHeight="1">
      <c r="A7" s="20" t="inlineStr">
        <is>
          <t>Lookup logistiche</t>
        </is>
      </c>
      <c r="B7" s="21" t="inlineStr">
        <is>
          <t>gold_prod.logistica</t>
        </is>
      </c>
      <c r="C7" s="21" t="inlineStr">
        <is>
          <t>LU_SITO, LU_OPERATORE, LU_CORRIERE, LU_TOPOGRAFIA, LU_AREA_MERCL_LOGIS</t>
        </is>
      </c>
    </row>
    <row r="8" ht="36" customHeight="1">
      <c r="A8" s="20" t="inlineStr">
        <is>
          <t>Fact tables</t>
        </is>
      </c>
      <c r="B8" s="21" t="inlineStr">
        <is>
          <t>gold_prod.logistica</t>
        </is>
      </c>
      <c r="C8" s="21" t="inlineStr">
        <is>
          <t>F_CARICO, F_GIACENZE_DAILY, F_PREP_SPED, F_ORDINI, F_TRASPORTO, F_TRACCIABILITA_LOTTI, F_MOVIMENTAZIONE_CARRELLISTI</t>
        </is>
      </c>
    </row>
    <row r="9" ht="36" customHeight="1">
      <c r="A9" s="20" t="inlineStr">
        <is>
          <t>DataMart aggregati</t>
        </is>
      </c>
      <c r="B9" s="21" t="inlineStr">
        <is>
          <t>gold_prod.logistica_dm</t>
        </is>
      </c>
      <c r="C9" s="21" t="inlineStr">
        <is>
          <t>A_INBOUND_MENSILE, A_GIACENZE_MONTHLY, A_STOCK_MENSILE, A_OUTBOUND_MENSILE, A_PRODUTTIVITA_MENSILE, A_TURNO_PREP_SITO</t>
        </is>
      </c>
    </row>
    <row r="10" ht="36" customHeight="1">
      <c r="A10" s="22" t="inlineStr"/>
      <c r="B10" s="22" t="inlineStr"/>
      <c r="C10" s="22" t="inlineStr"/>
    </row>
    <row r="11" ht="36" customHeight="1">
      <c r="A11" s="19" t="inlineStr">
        <is>
          <t>REGOLE CHIAVE</t>
        </is>
      </c>
      <c r="B11" s="19" t="inlineStr"/>
      <c r="C11" s="19" t="inlineStr"/>
    </row>
    <row r="12" ht="36" customHeight="1">
      <c r="A12" s="20" t="inlineStr">
        <is>
          <t>Chiavi</t>
        </is>
      </c>
      <c r="B12" s="21" t="inlineStr">
        <is>
          <t>Naturali (string)</t>
        </is>
      </c>
      <c r="C12" s="21" t="inlineStr">
        <is>
          <t>NESSUN surrogate ID numerico. Le fact portano le chiavi naturali; join master LU_* opzionali fino a OP-02 chiuso.</t>
        </is>
      </c>
    </row>
    <row r="13" ht="36" customHeight="1">
      <c r="A13" s="20" t="inlineStr">
        <is>
          <t>Articolo</t>
        </is>
      </c>
      <c r="B13" s="21" t="inlineStr">
        <is>
          <t>MSI_COD / ART_RADICE</t>
        </is>
      </c>
      <c r="C13" s="21" t="inlineStr">
        <is>
          <t>Identificatore articolo Logistix = MSI_COD; ART_RADICE/ART_VAR derivati in Silver (OP-12).</t>
        </is>
      </c>
    </row>
    <row r="14" ht="36" customHeight="1">
      <c r="A14" s="20" t="inlineStr">
        <is>
          <t>Produttività preparatori</t>
        </is>
      </c>
      <c r="B14" s="21" t="inlineStr">
        <is>
          <t>CARTONI/ora</t>
        </is>
      </c>
      <c r="C14" s="21" t="inlineStr">
        <is>
          <t>Le misure reali sono CARTONI/QUINTALI (non colli). Regola 30 min attrezzaggio applicata in F_PREP_SPED (OP-27).</t>
        </is>
      </c>
    </row>
    <row r="15" ht="36" customHeight="1">
      <c r="A15" s="20" t="inlineStr">
        <is>
          <t>Produttività carrellisti</t>
        </is>
      </c>
      <c r="B15" s="21" t="inlineStr">
        <is>
          <t>ORE_PRESENZA</t>
        </is>
      </c>
      <c r="C15" s="21" t="inlineStr">
        <is>
          <t>ORE_PRODUTTIVE non disponibile (cartellino ha solo login/logout) — OP-27.</t>
        </is>
      </c>
    </row>
    <row r="16" ht="36" customHeight="1">
      <c r="A16" s="20" t="inlineStr">
        <is>
          <t>Idempotenza</t>
        </is>
      </c>
      <c r="B16" s="21" t="inlineStr">
        <is>
          <t>replaceWhere su partizione</t>
        </is>
      </c>
      <c r="C16" s="21" t="inlineStr">
        <is>
          <t>Tutte le fact e gli aggregati usano replaceWhere su ANNO_MESE / DATA_FOTO / DATA_PREPARAZ / DATA_BOLLA.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2026-06-09T05:57:21Z</dcterms:created>
  <dcterms:modified xmlns:dcterms="http://purl.org/dc/terms/" xmlns:xsi="http://www.w3.org/2001/XMLSchema-instance" xsi:type="dcterms:W3CDTF">2026-06-09T05:57:21Z</dcterms:modified>
</cp:coreProperties>
</file>